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esharpab-my.sharepoint.com/personal/daniel_esharp_se/Documents/DesignLabs/PLM/Products/ESH10000540/P2/Verification/"/>
    </mc:Choice>
  </mc:AlternateContent>
  <xr:revisionPtr revIDLastSave="10387" documentId="8_{8ADC11FE-21AC-419E-A6AB-300C121185A7}" xr6:coauthVersionLast="47" xr6:coauthVersionMax="47" xr10:uidLastSave="{6DCA960B-4A4C-4B76-884E-0FADACEF67AA}"/>
  <bookViews>
    <workbookView xWindow="-108" yWindow="-108" windowWidth="41496" windowHeight="16776" tabRatio="457" xr2:uid="{00000000-000D-0000-FFFF-FFFF00000000}"/>
  </bookViews>
  <sheets>
    <sheet name="DUT" sheetId="3" r:id="rId1"/>
    <sheet name="Analog Channels" sheetId="5" r:id="rId2"/>
    <sheet name="AUDIO,RS485,LOAD" sheetId="7" r:id="rId3"/>
    <sheet name="MPIO" sheetId="8" r:id="rId4"/>
    <sheet name="FE_MPIO" sheetId="9" r:id="rId5"/>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 i="9" l="1"/>
  <c r="M20" i="9"/>
  <c r="M23" i="8"/>
  <c r="M20" i="8"/>
  <c r="M20" i="7"/>
  <c r="M21" i="5"/>
  <c r="K16" i="8"/>
  <c r="M16" i="9"/>
  <c r="M15" i="9"/>
  <c r="G16" i="9"/>
  <c r="F16" i="9"/>
  <c r="H16" i="9" s="1"/>
  <c r="G15" i="9"/>
  <c r="F15" i="9"/>
  <c r="H15" i="9" s="1"/>
  <c r="G10" i="9"/>
  <c r="F10" i="9"/>
  <c r="H10" i="9" s="1"/>
  <c r="G9" i="9"/>
  <c r="F9" i="9"/>
  <c r="H9" i="9" s="1"/>
  <c r="M16" i="8"/>
  <c r="M15" i="8"/>
  <c r="G16" i="8"/>
  <c r="F16" i="8"/>
  <c r="H16" i="8" s="1"/>
  <c r="G15" i="8"/>
  <c r="F15" i="8"/>
  <c r="H15" i="8" s="1"/>
  <c r="N15" i="8"/>
  <c r="L16" i="9"/>
  <c r="K16" i="9"/>
  <c r="L16" i="8"/>
  <c r="R16" i="8"/>
  <c r="Q16" i="8"/>
  <c r="S16" i="8" s="1"/>
  <c r="U15" i="8"/>
  <c r="R15" i="8"/>
  <c r="S15" i="8" s="1"/>
  <c r="Q15" i="8"/>
  <c r="R16" i="9"/>
  <c r="Q16" i="9"/>
  <c r="S16" i="9" s="1"/>
  <c r="R15" i="9"/>
  <c r="Q15" i="9"/>
  <c r="S15" i="9" s="1"/>
  <c r="R10" i="9"/>
  <c r="S10" i="9" s="1"/>
  <c r="Q10" i="9"/>
  <c r="L10" i="9"/>
  <c r="K10" i="9"/>
  <c r="U9" i="9"/>
  <c r="R9" i="9"/>
  <c r="Q9" i="9"/>
  <c r="S9" i="9" s="1"/>
  <c r="R10" i="8"/>
  <c r="Q10" i="8"/>
  <c r="S10" i="8" s="1"/>
  <c r="L10" i="8"/>
  <c r="K10" i="8"/>
  <c r="G10" i="8"/>
  <c r="F10" i="8"/>
  <c r="U9" i="8"/>
  <c r="R9" i="8"/>
  <c r="Q9" i="8"/>
  <c r="G9" i="8"/>
  <c r="F9" i="8"/>
  <c r="H9" i="8" s="1"/>
  <c r="M9" i="8" s="1"/>
  <c r="N9" i="8" s="1"/>
  <c r="R14" i="7"/>
  <c r="Q14" i="7"/>
  <c r="S14" i="7" s="1"/>
  <c r="L14" i="7"/>
  <c r="L15" i="7" s="1"/>
  <c r="K14" i="7"/>
  <c r="U14" i="7" s="1"/>
  <c r="R13" i="7"/>
  <c r="Q13" i="7"/>
  <c r="S13" i="7" s="1"/>
  <c r="L13" i="7"/>
  <c r="K13" i="7"/>
  <c r="U13" i="7" s="1"/>
  <c r="R12" i="7"/>
  <c r="S12" i="7" s="1"/>
  <c r="Q12" i="7"/>
  <c r="M12" i="7"/>
  <c r="L12" i="7"/>
  <c r="K12" i="7"/>
  <c r="N12" i="7" s="1"/>
  <c r="R11" i="7"/>
  <c r="Q11" i="7"/>
  <c r="S11" i="7" s="1"/>
  <c r="M11" i="7"/>
  <c r="L11" i="7"/>
  <c r="K11" i="7"/>
  <c r="R10" i="7"/>
  <c r="Q10" i="7"/>
  <c r="S10" i="7" s="1"/>
  <c r="L10" i="7"/>
  <c r="K10" i="7"/>
  <c r="R16" i="7"/>
  <c r="Q16" i="7"/>
  <c r="S16" i="7" s="1"/>
  <c r="L16" i="7"/>
  <c r="K16" i="7"/>
  <c r="R15" i="7"/>
  <c r="Q15" i="7"/>
  <c r="S15" i="7" s="1"/>
  <c r="K15" i="7"/>
  <c r="R17" i="7"/>
  <c r="Q17" i="7"/>
  <c r="S17" i="7" s="1"/>
  <c r="L17" i="7"/>
  <c r="K17" i="7"/>
  <c r="G17" i="7"/>
  <c r="H17" i="7" s="1"/>
  <c r="M17" i="7" s="1"/>
  <c r="F17" i="7"/>
  <c r="G16" i="7"/>
  <c r="F16" i="7"/>
  <c r="H16" i="7" s="1"/>
  <c r="M16" i="7" s="1"/>
  <c r="G15" i="7"/>
  <c r="F15" i="7"/>
  <c r="G14" i="7"/>
  <c r="F14" i="7"/>
  <c r="H14" i="7" s="1"/>
  <c r="G13" i="7"/>
  <c r="F13" i="7"/>
  <c r="H13" i="7" s="1"/>
  <c r="M14" i="7" s="1"/>
  <c r="G12" i="7"/>
  <c r="F12" i="7"/>
  <c r="H12" i="7" s="1"/>
  <c r="M13" i="7" s="1"/>
  <c r="G11" i="7"/>
  <c r="F11" i="7"/>
  <c r="H11" i="7" s="1"/>
  <c r="G10" i="7"/>
  <c r="F10" i="7"/>
  <c r="H10" i="7" s="1"/>
  <c r="M10" i="7" s="1"/>
  <c r="U9" i="7"/>
  <c r="R9" i="7"/>
  <c r="Q9" i="7"/>
  <c r="S9" i="7" s="1"/>
  <c r="G9" i="7"/>
  <c r="F9" i="7"/>
  <c r="H9" i="7" s="1"/>
  <c r="M9" i="7" s="1"/>
  <c r="N9" i="7" s="1"/>
  <c r="K10" i="5"/>
  <c r="L10" i="5"/>
  <c r="K11" i="5"/>
  <c r="L12" i="5"/>
  <c r="K13" i="5"/>
  <c r="K12" i="5"/>
  <c r="U9" i="5"/>
  <c r="K17" i="5"/>
  <c r="K16" i="5"/>
  <c r="K15" i="5"/>
  <c r="K14" i="5"/>
  <c r="L17" i="5"/>
  <c r="L16" i="5"/>
  <c r="L15" i="5"/>
  <c r="L14" i="5"/>
  <c r="L13" i="5"/>
  <c r="L11" i="5"/>
  <c r="R17" i="5"/>
  <c r="Q17" i="5"/>
  <c r="R16" i="5"/>
  <c r="Q16" i="5"/>
  <c r="R15" i="5"/>
  <c r="Q15" i="5"/>
  <c r="R14" i="5"/>
  <c r="Q14" i="5"/>
  <c r="R13" i="5"/>
  <c r="Q13" i="5"/>
  <c r="S13" i="5" s="1"/>
  <c r="R12" i="5"/>
  <c r="Q12" i="5"/>
  <c r="S12" i="5" s="1"/>
  <c r="R11" i="5"/>
  <c r="Q11" i="5"/>
  <c r="S11" i="5" s="1"/>
  <c r="R10" i="5"/>
  <c r="Q10" i="5"/>
  <c r="S10" i="5" s="1"/>
  <c r="R9" i="5"/>
  <c r="Q9" i="5"/>
  <c r="S9" i="5" s="1"/>
  <c r="G17" i="5"/>
  <c r="F17" i="5"/>
  <c r="G16" i="5"/>
  <c r="F16" i="5"/>
  <c r="G15" i="5"/>
  <c r="F15" i="5"/>
  <c r="G14" i="5"/>
  <c r="F14" i="5"/>
  <c r="H14" i="5" s="1"/>
  <c r="M14" i="5" s="1"/>
  <c r="G13" i="5"/>
  <c r="F13" i="5"/>
  <c r="G11" i="5"/>
  <c r="F11" i="5"/>
  <c r="G10" i="5"/>
  <c r="F10" i="5"/>
  <c r="G9" i="5"/>
  <c r="F9" i="5"/>
  <c r="H9" i="5" s="1"/>
  <c r="M9" i="5" s="1"/>
  <c r="N9" i="5" s="1"/>
  <c r="G12" i="5"/>
  <c r="F12" i="5"/>
  <c r="H12" i="5" s="1"/>
  <c r="M12" i="5" s="1"/>
  <c r="AR300" i="3"/>
  <c r="AR299" i="3"/>
  <c r="AR292" i="3"/>
  <c r="AR291" i="3"/>
  <c r="AR276" i="3"/>
  <c r="AR275" i="3"/>
  <c r="AR260" i="3"/>
  <c r="AR259" i="3"/>
  <c r="AR244" i="3"/>
  <c r="AR243" i="3"/>
  <c r="AR228" i="3"/>
  <c r="AR227" i="3"/>
  <c r="AR212" i="3"/>
  <c r="AR211" i="3"/>
  <c r="AR196" i="3"/>
  <c r="AR195" i="3"/>
  <c r="AR180" i="3"/>
  <c r="AR179" i="3"/>
  <c r="AR164" i="3"/>
  <c r="AR163" i="3"/>
  <c r="AP306" i="3"/>
  <c r="AO306" i="3"/>
  <c r="AP305" i="3"/>
  <c r="AO305" i="3"/>
  <c r="AP304" i="3"/>
  <c r="AO304" i="3"/>
  <c r="AP303" i="3"/>
  <c r="AO303" i="3"/>
  <c r="AP302" i="3"/>
  <c r="AO302" i="3"/>
  <c r="AP301" i="3"/>
  <c r="AO301" i="3"/>
  <c r="AP300" i="3"/>
  <c r="AO300" i="3"/>
  <c r="AP299" i="3"/>
  <c r="AO299" i="3"/>
  <c r="AP298" i="3"/>
  <c r="AO298" i="3"/>
  <c r="AP297" i="3"/>
  <c r="AO297" i="3"/>
  <c r="AP296" i="3"/>
  <c r="AO296" i="3"/>
  <c r="AP295" i="3"/>
  <c r="AO295" i="3"/>
  <c r="AP294" i="3"/>
  <c r="AO294" i="3"/>
  <c r="AP293" i="3"/>
  <c r="AO293" i="3"/>
  <c r="AP292" i="3"/>
  <c r="AO292" i="3"/>
  <c r="AP291" i="3"/>
  <c r="AO291" i="3"/>
  <c r="M9" i="9" l="1"/>
  <c r="N9" i="9" s="1"/>
  <c r="T9" i="9" s="1"/>
  <c r="M10" i="9"/>
  <c r="H10" i="8"/>
  <c r="M10" i="8" s="1"/>
  <c r="H15" i="7"/>
  <c r="M15" i="7" s="1"/>
  <c r="T15" i="8"/>
  <c r="N16" i="8"/>
  <c r="T16" i="8" s="1"/>
  <c r="U16" i="8"/>
  <c r="U10" i="9"/>
  <c r="N10" i="9"/>
  <c r="T10" i="9" s="1"/>
  <c r="N16" i="9"/>
  <c r="T16" i="9" s="1"/>
  <c r="U16" i="9"/>
  <c r="U15" i="9"/>
  <c r="N15" i="9"/>
  <c r="T15" i="9" s="1"/>
  <c r="U10" i="8"/>
  <c r="N10" i="8"/>
  <c r="T10" i="8" s="1"/>
  <c r="S9" i="8"/>
  <c r="T9" i="8" s="1"/>
  <c r="U11" i="7"/>
  <c r="U17" i="7"/>
  <c r="U15" i="7"/>
  <c r="U16" i="7"/>
  <c r="U10" i="7"/>
  <c r="U12" i="7"/>
  <c r="T12" i="7"/>
  <c r="N10" i="7"/>
  <c r="T10" i="7" s="1"/>
  <c r="N13" i="7"/>
  <c r="T13" i="7" s="1"/>
  <c r="N11" i="7"/>
  <c r="T11" i="7" s="1"/>
  <c r="N14" i="7"/>
  <c r="T14" i="7" s="1"/>
  <c r="N15" i="7"/>
  <c r="T15" i="7" s="1"/>
  <c r="N16" i="7"/>
  <c r="T16" i="7" s="1"/>
  <c r="N17" i="7"/>
  <c r="T17" i="7" s="1"/>
  <c r="T9" i="7"/>
  <c r="H11" i="5"/>
  <c r="M11" i="5" s="1"/>
  <c r="N11" i="5" s="1"/>
  <c r="T11" i="5" s="1"/>
  <c r="S14" i="5"/>
  <c r="H10" i="5"/>
  <c r="M10" i="5" s="1"/>
  <c r="H13" i="5"/>
  <c r="M13" i="5" s="1"/>
  <c r="S15" i="5"/>
  <c r="T9" i="5"/>
  <c r="S17" i="5"/>
  <c r="H16" i="5"/>
  <c r="M16" i="5" s="1"/>
  <c r="N12" i="5"/>
  <c r="T12" i="5" s="1"/>
  <c r="S16" i="5"/>
  <c r="N14" i="5"/>
  <c r="N16" i="5"/>
  <c r="T16" i="5" s="1"/>
  <c r="N17" i="5"/>
  <c r="T17" i="5" s="1"/>
  <c r="N10" i="5"/>
  <c r="T10" i="5" s="1"/>
  <c r="N13" i="5"/>
  <c r="T13" i="5" s="1"/>
  <c r="U14" i="5"/>
  <c r="U13" i="5"/>
  <c r="U10" i="5"/>
  <c r="U11" i="5"/>
  <c r="U12" i="5"/>
  <c r="U15" i="5"/>
  <c r="U16" i="5"/>
  <c r="U17" i="5"/>
  <c r="H15" i="5"/>
  <c r="M15" i="5" s="1"/>
  <c r="N15" i="5" s="1"/>
  <c r="H17" i="5"/>
  <c r="M17" i="5" s="1"/>
  <c r="T14" i="5" l="1"/>
  <c r="T15" i="5"/>
  <c r="AO329" i="3"/>
  <c r="AO328" i="3"/>
  <c r="AO327" i="3"/>
  <c r="AO326" i="3"/>
  <c r="AO325" i="3"/>
  <c r="AO324" i="3"/>
  <c r="AO323" i="3"/>
  <c r="AO322" i="3"/>
  <c r="AO321" i="3"/>
  <c r="AO320" i="3"/>
  <c r="AO319" i="3"/>
  <c r="AO318" i="3"/>
  <c r="AO317" i="3"/>
  <c r="AO316" i="3"/>
  <c r="AO315" i="3"/>
  <c r="AO314" i="3"/>
  <c r="AO313" i="3"/>
  <c r="AO312" i="3"/>
  <c r="AO311" i="3"/>
  <c r="AO310" i="3"/>
  <c r="AP282" i="3"/>
  <c r="AO282" i="3"/>
  <c r="AP281" i="3"/>
  <c r="AO281" i="3"/>
  <c r="AP280" i="3"/>
  <c r="AO280" i="3"/>
  <c r="AP279" i="3"/>
  <c r="AO279" i="3"/>
  <c r="AP278" i="3"/>
  <c r="AO278" i="3"/>
  <c r="AP277" i="3"/>
  <c r="AO277" i="3"/>
  <c r="AP276" i="3"/>
  <c r="AO276" i="3"/>
  <c r="AP275" i="3"/>
  <c r="AO275" i="3"/>
  <c r="AP274" i="3"/>
  <c r="AO274" i="3"/>
  <c r="AP273" i="3"/>
  <c r="AO273" i="3"/>
  <c r="AP272" i="3"/>
  <c r="AO272" i="3"/>
  <c r="AP271" i="3"/>
  <c r="AO271" i="3"/>
  <c r="AP270" i="3"/>
  <c r="AO270" i="3"/>
  <c r="AP269" i="3"/>
  <c r="AO269" i="3"/>
  <c r="AP268" i="3"/>
  <c r="AO268" i="3"/>
  <c r="AP267" i="3"/>
  <c r="AO267" i="3"/>
  <c r="AP266" i="3"/>
  <c r="AO266" i="3"/>
  <c r="AP265" i="3"/>
  <c r="AO265" i="3"/>
  <c r="AP264" i="3"/>
  <c r="AO264" i="3"/>
  <c r="AP263" i="3"/>
  <c r="AO263" i="3"/>
  <c r="AP262" i="3"/>
  <c r="AO262" i="3"/>
  <c r="AP261" i="3"/>
  <c r="AO261" i="3"/>
  <c r="AP260" i="3"/>
  <c r="AO260" i="3"/>
  <c r="AP259" i="3"/>
  <c r="AO259" i="3"/>
  <c r="AP258" i="3"/>
  <c r="AO258" i="3"/>
  <c r="AP257" i="3"/>
  <c r="AO257" i="3"/>
  <c r="AP256" i="3"/>
  <c r="AO256" i="3"/>
  <c r="AP255" i="3"/>
  <c r="AO255" i="3"/>
  <c r="AP254" i="3"/>
  <c r="AO254" i="3"/>
  <c r="AP253" i="3"/>
  <c r="AO253" i="3"/>
  <c r="AP252" i="3"/>
  <c r="AO252" i="3"/>
  <c r="AP251" i="3"/>
  <c r="AO251" i="3"/>
  <c r="AP250" i="3"/>
  <c r="AO250" i="3"/>
  <c r="AP249" i="3"/>
  <c r="AO249" i="3"/>
  <c r="AP248" i="3"/>
  <c r="AO248" i="3"/>
  <c r="AP247" i="3"/>
  <c r="AO247" i="3"/>
  <c r="AP246" i="3"/>
  <c r="AO246" i="3"/>
  <c r="AP245" i="3"/>
  <c r="AO245" i="3"/>
  <c r="AP244" i="3"/>
  <c r="AO244" i="3"/>
  <c r="AP243" i="3"/>
  <c r="AO243" i="3"/>
  <c r="AP242" i="3"/>
  <c r="AO242" i="3"/>
  <c r="AP241" i="3"/>
  <c r="AO241" i="3"/>
  <c r="AP240" i="3"/>
  <c r="AO240" i="3"/>
  <c r="AP239" i="3"/>
  <c r="AO239" i="3"/>
  <c r="AP238" i="3"/>
  <c r="AO238" i="3"/>
  <c r="AP237" i="3"/>
  <c r="AO237" i="3"/>
  <c r="AP236" i="3"/>
  <c r="AO236" i="3"/>
  <c r="AP235" i="3"/>
  <c r="AO235" i="3"/>
  <c r="AP234" i="3"/>
  <c r="AO234" i="3"/>
  <c r="AP233" i="3"/>
  <c r="AO233" i="3"/>
  <c r="AP232" i="3"/>
  <c r="AO232" i="3"/>
  <c r="AP231" i="3"/>
  <c r="AO231" i="3"/>
  <c r="AP230" i="3"/>
  <c r="AO230" i="3"/>
  <c r="AP229" i="3"/>
  <c r="AO229" i="3"/>
  <c r="AP228" i="3"/>
  <c r="AO228" i="3"/>
  <c r="AP227" i="3"/>
  <c r="AO227" i="3"/>
  <c r="AP226" i="3"/>
  <c r="AO226" i="3"/>
  <c r="AP225" i="3"/>
  <c r="AO225" i="3"/>
  <c r="AP224" i="3"/>
  <c r="AO224" i="3"/>
  <c r="AP223" i="3"/>
  <c r="AO223" i="3"/>
  <c r="AP222" i="3"/>
  <c r="AO222" i="3"/>
  <c r="AP221" i="3"/>
  <c r="AO221" i="3"/>
  <c r="AP220" i="3"/>
  <c r="AO220" i="3"/>
  <c r="AP219" i="3"/>
  <c r="AO219" i="3"/>
  <c r="AP218" i="3"/>
  <c r="AO218" i="3"/>
  <c r="AP217" i="3"/>
  <c r="AO217" i="3"/>
  <c r="AP216" i="3"/>
  <c r="AO216" i="3"/>
  <c r="AP215" i="3"/>
  <c r="AO215" i="3"/>
  <c r="AP214" i="3"/>
  <c r="AO214" i="3"/>
  <c r="AP213" i="3"/>
  <c r="AO213" i="3"/>
  <c r="AP212" i="3"/>
  <c r="AO212" i="3"/>
  <c r="AP211" i="3"/>
  <c r="AO211" i="3"/>
  <c r="AP210" i="3"/>
  <c r="AO210" i="3"/>
  <c r="AP209" i="3"/>
  <c r="AO209" i="3"/>
  <c r="AP208" i="3"/>
  <c r="AO208" i="3"/>
  <c r="AP207" i="3"/>
  <c r="AO207" i="3"/>
  <c r="AP206" i="3"/>
  <c r="AO206" i="3"/>
  <c r="AP205" i="3"/>
  <c r="AO205" i="3"/>
  <c r="AP204" i="3"/>
  <c r="AO204" i="3"/>
  <c r="AP203" i="3"/>
  <c r="AO203" i="3"/>
  <c r="AP202" i="3"/>
  <c r="AO202" i="3"/>
  <c r="AP201" i="3"/>
  <c r="AO201" i="3"/>
  <c r="AP200" i="3"/>
  <c r="AO200" i="3"/>
  <c r="AP199" i="3"/>
  <c r="AO199" i="3"/>
  <c r="AP198" i="3"/>
  <c r="AO198" i="3"/>
  <c r="AP197" i="3"/>
  <c r="AO197" i="3"/>
  <c r="AP196" i="3"/>
  <c r="AO196" i="3"/>
  <c r="AP195" i="3"/>
  <c r="AO195" i="3"/>
  <c r="AP194" i="3"/>
  <c r="AO194" i="3"/>
  <c r="AP193" i="3"/>
  <c r="AO193" i="3"/>
  <c r="AP192" i="3"/>
  <c r="AO192" i="3"/>
  <c r="AP191" i="3"/>
  <c r="AO191" i="3"/>
  <c r="AP190" i="3"/>
  <c r="AO190" i="3"/>
  <c r="AP189" i="3"/>
  <c r="AO189" i="3"/>
  <c r="AP188" i="3"/>
  <c r="AO188" i="3"/>
  <c r="AP187" i="3"/>
  <c r="AO187" i="3"/>
  <c r="AP186" i="3"/>
  <c r="AO186" i="3"/>
  <c r="AP185" i="3"/>
  <c r="AO185" i="3"/>
  <c r="AP184" i="3"/>
  <c r="AO184" i="3"/>
  <c r="AP183" i="3"/>
  <c r="AO183" i="3"/>
  <c r="AP182" i="3"/>
  <c r="AO182" i="3"/>
  <c r="AP181" i="3"/>
  <c r="AO181" i="3"/>
  <c r="AP180" i="3"/>
  <c r="AO180" i="3"/>
  <c r="AP179" i="3"/>
  <c r="AO179" i="3"/>
  <c r="AP178" i="3"/>
  <c r="AO178" i="3"/>
  <c r="AP177" i="3"/>
  <c r="AO177" i="3"/>
  <c r="AP176" i="3"/>
  <c r="AO176" i="3"/>
  <c r="AP175" i="3"/>
  <c r="AO175" i="3"/>
  <c r="AP174" i="3"/>
  <c r="AO174" i="3"/>
  <c r="AP173" i="3"/>
  <c r="AO173" i="3"/>
  <c r="AP172" i="3"/>
  <c r="AO172" i="3"/>
  <c r="AP171" i="3"/>
  <c r="AO171" i="3"/>
  <c r="AP170" i="3"/>
  <c r="AO170" i="3"/>
  <c r="AP169" i="3"/>
  <c r="AO169" i="3"/>
  <c r="AP168" i="3"/>
  <c r="AO168" i="3"/>
  <c r="AP167" i="3"/>
  <c r="AO167" i="3"/>
  <c r="AP166" i="3"/>
  <c r="AO166" i="3"/>
  <c r="AP165" i="3"/>
  <c r="AO165" i="3"/>
  <c r="AP164" i="3"/>
  <c r="AO164" i="3"/>
  <c r="AP163" i="3"/>
  <c r="AO163" i="3"/>
  <c r="AO152" i="3"/>
  <c r="AO151" i="3"/>
  <c r="AO150" i="3"/>
  <c r="AO149" i="3"/>
  <c r="AO148" i="3"/>
  <c r="AO147" i="3"/>
  <c r="AO146" i="3"/>
  <c r="AO145" i="3"/>
  <c r="AO144" i="3"/>
  <c r="AO143" i="3"/>
  <c r="AO142" i="3"/>
  <c r="AO141" i="3"/>
  <c r="AO140" i="3"/>
  <c r="AO139" i="3"/>
  <c r="AO138" i="3"/>
  <c r="AO137" i="3"/>
  <c r="AO136" i="3"/>
  <c r="AO135" i="3"/>
  <c r="AO134" i="3"/>
  <c r="AO133" i="3"/>
  <c r="AO132" i="3"/>
  <c r="AO131" i="3"/>
  <c r="AO130" i="3"/>
  <c r="AO129" i="3"/>
  <c r="AP128" i="3"/>
  <c r="AO128" i="3"/>
  <c r="AP127" i="3"/>
  <c r="AO127" i="3"/>
  <c r="AP126" i="3"/>
  <c r="AO126" i="3"/>
  <c r="AP125" i="3"/>
  <c r="AO125" i="3"/>
  <c r="AP124" i="3"/>
  <c r="AO124" i="3"/>
  <c r="AP123" i="3"/>
  <c r="AO123" i="3"/>
  <c r="AP122" i="3"/>
  <c r="AO122" i="3"/>
  <c r="AP121" i="3"/>
  <c r="AO121" i="3"/>
  <c r="AP120" i="3"/>
  <c r="AO120" i="3"/>
  <c r="AP119" i="3"/>
  <c r="AO119" i="3"/>
  <c r="AP118" i="3"/>
  <c r="AO118" i="3"/>
  <c r="AP117" i="3"/>
  <c r="AO117" i="3"/>
  <c r="AP116" i="3"/>
  <c r="AO116" i="3"/>
  <c r="AP115" i="3"/>
  <c r="AO115" i="3"/>
  <c r="AP114" i="3"/>
  <c r="AO114" i="3"/>
  <c r="AP113" i="3"/>
  <c r="AO113" i="3"/>
  <c r="AP112" i="3"/>
  <c r="AO112" i="3"/>
  <c r="AP111" i="3"/>
  <c r="AO111" i="3"/>
  <c r="AP110" i="3"/>
  <c r="AO110" i="3"/>
  <c r="AP109" i="3"/>
  <c r="AO109" i="3"/>
  <c r="AP108" i="3"/>
  <c r="AO108" i="3"/>
  <c r="AP107" i="3"/>
  <c r="AO107" i="3"/>
  <c r="AP106" i="3"/>
  <c r="AO106" i="3"/>
  <c r="AP105" i="3"/>
  <c r="AO105" i="3"/>
  <c r="AO104" i="3"/>
  <c r="AO103" i="3"/>
  <c r="AO102" i="3"/>
  <c r="AO101" i="3"/>
  <c r="AO100" i="3"/>
  <c r="AO99" i="3"/>
  <c r="AO98" i="3"/>
  <c r="AO97" i="3"/>
  <c r="AP96" i="3"/>
  <c r="AO96" i="3"/>
  <c r="AP95" i="3"/>
  <c r="AO95" i="3"/>
  <c r="AP94" i="3"/>
  <c r="AO94" i="3"/>
  <c r="AP93" i="3"/>
  <c r="AO93" i="3"/>
  <c r="AP92" i="3"/>
  <c r="AO92" i="3"/>
  <c r="AP91" i="3"/>
  <c r="AO91" i="3"/>
  <c r="AP90" i="3"/>
  <c r="AO90" i="3"/>
  <c r="AP89" i="3"/>
  <c r="AO89" i="3"/>
  <c r="AP88" i="3"/>
  <c r="AO88" i="3"/>
  <c r="AP87" i="3"/>
  <c r="AO87" i="3"/>
  <c r="AP86" i="3"/>
  <c r="AO86" i="3"/>
  <c r="AP85" i="3"/>
  <c r="AO85" i="3"/>
  <c r="AP84" i="3"/>
  <c r="AO84" i="3"/>
  <c r="AP83" i="3"/>
  <c r="AO83" i="3"/>
  <c r="AP82" i="3"/>
  <c r="AO82" i="3"/>
  <c r="AP81" i="3"/>
  <c r="AO81" i="3"/>
  <c r="AP80" i="3"/>
  <c r="AO80" i="3"/>
  <c r="AP79" i="3"/>
  <c r="AO79" i="3"/>
  <c r="AP78" i="3"/>
  <c r="AO78" i="3"/>
  <c r="AP77" i="3"/>
  <c r="AO77" i="3"/>
  <c r="AP76" i="3"/>
  <c r="AO76" i="3"/>
  <c r="AP75" i="3"/>
  <c r="AO75" i="3"/>
  <c r="AP74" i="3"/>
  <c r="AO74" i="3"/>
  <c r="AO73" i="3"/>
  <c r="AO72" i="3"/>
  <c r="AO71" i="3"/>
  <c r="AO70" i="3"/>
  <c r="AR68" i="3"/>
  <c r="AR67" i="3"/>
  <c r="AR66" i="3"/>
  <c r="AR65" i="3"/>
  <c r="AR64" i="3"/>
  <c r="AR63" i="3"/>
  <c r="AR62" i="3"/>
  <c r="AR61" i="3"/>
  <c r="AR60" i="3"/>
  <c r="AR59" i="3"/>
  <c r="AR58" i="3"/>
  <c r="AR57" i="3"/>
  <c r="AO55" i="3"/>
  <c r="AO54" i="3"/>
  <c r="AO53" i="3"/>
  <c r="AO52" i="3"/>
  <c r="AO51" i="3"/>
  <c r="AP50" i="3"/>
  <c r="AO48" i="3"/>
  <c r="AO47" i="3"/>
  <c r="AO46" i="3"/>
  <c r="AO45" i="3"/>
  <c r="AO44" i="3"/>
  <c r="AO42" i="3"/>
  <c r="AO41" i="3"/>
  <c r="AO40" i="3"/>
  <c r="AO39" i="3"/>
  <c r="AO38" i="3"/>
  <c r="AO36" i="3"/>
  <c r="AO35" i="3"/>
  <c r="AO34" i="3"/>
  <c r="AO33" i="3"/>
  <c r="AO32" i="3"/>
  <c r="AO31" i="3"/>
  <c r="AO29" i="3"/>
  <c r="AO28" i="3"/>
  <c r="AP27" i="3"/>
  <c r="AO25" i="3"/>
  <c r="AO24" i="3"/>
  <c r="AO23" i="3"/>
  <c r="AO22" i="3"/>
  <c r="AO21" i="3"/>
  <c r="AO20" i="3"/>
  <c r="AO19" i="3"/>
  <c r="AO18" i="3"/>
  <c r="AO17" i="3"/>
  <c r="AO16" i="3"/>
  <c r="AP15" i="3"/>
  <c r="AO13" i="3"/>
  <c r="AO12" i="3"/>
  <c r="AO10" i="3"/>
  <c r="AO9" i="3"/>
  <c r="AO8" i="3"/>
  <c r="AG329" i="3" l="1"/>
  <c r="AG328" i="3"/>
  <c r="AG327" i="3"/>
  <c r="AG326" i="3"/>
  <c r="AG325" i="3"/>
  <c r="AG324" i="3"/>
  <c r="AG323" i="3"/>
  <c r="AG322" i="3"/>
  <c r="AG321" i="3"/>
  <c r="AG320" i="3"/>
  <c r="AG319" i="3"/>
  <c r="AG318" i="3"/>
  <c r="AG317" i="3"/>
  <c r="AG316" i="3"/>
  <c r="AG315" i="3"/>
  <c r="AG314" i="3"/>
  <c r="AG313" i="3"/>
  <c r="AG312" i="3"/>
  <c r="AG311" i="3"/>
  <c r="AG310" i="3"/>
  <c r="AG47" i="3"/>
  <c r="R44" i="3"/>
  <c r="Z44" i="3"/>
  <c r="AG38" i="3"/>
  <c r="AH27" i="3"/>
  <c r="Z27" i="3"/>
  <c r="R27" i="3"/>
  <c r="R15" i="3"/>
  <c r="AH290" i="3"/>
  <c r="AG290" i="3"/>
  <c r="AH289" i="3"/>
  <c r="AG289" i="3"/>
  <c r="AH288" i="3"/>
  <c r="AG288" i="3"/>
  <c r="AH287" i="3"/>
  <c r="AG287" i="3"/>
  <c r="AH286" i="3"/>
  <c r="AG286" i="3"/>
  <c r="AH285" i="3"/>
  <c r="AG285" i="3"/>
  <c r="AH284" i="3"/>
  <c r="AG284" i="3"/>
  <c r="AH283" i="3"/>
  <c r="AG283" i="3"/>
  <c r="AH282" i="3"/>
  <c r="AG282" i="3"/>
  <c r="AH281" i="3"/>
  <c r="AG281" i="3"/>
  <c r="AH280" i="3"/>
  <c r="AG280" i="3"/>
  <c r="AH279" i="3"/>
  <c r="AG279" i="3"/>
  <c r="AH278" i="3"/>
  <c r="AG278" i="3"/>
  <c r="AH277" i="3"/>
  <c r="AG277" i="3"/>
  <c r="AH276" i="3"/>
  <c r="AG276" i="3"/>
  <c r="AH275" i="3"/>
  <c r="AG275" i="3"/>
  <c r="AH274" i="3"/>
  <c r="AG274" i="3"/>
  <c r="AH273" i="3"/>
  <c r="AG273" i="3"/>
  <c r="AH272" i="3"/>
  <c r="AG272" i="3"/>
  <c r="AH271" i="3"/>
  <c r="AG271" i="3"/>
  <c r="AH270" i="3"/>
  <c r="AG270" i="3"/>
  <c r="AH269" i="3"/>
  <c r="AG269" i="3"/>
  <c r="AH268" i="3"/>
  <c r="AG268" i="3"/>
  <c r="AH267" i="3"/>
  <c r="AG267" i="3"/>
  <c r="AH266" i="3"/>
  <c r="AG266" i="3"/>
  <c r="AH265" i="3"/>
  <c r="AG265" i="3"/>
  <c r="AH264" i="3"/>
  <c r="AG264" i="3"/>
  <c r="AH263" i="3"/>
  <c r="AG263" i="3"/>
  <c r="AH262" i="3"/>
  <c r="AG262" i="3"/>
  <c r="AH261" i="3"/>
  <c r="AG261" i="3"/>
  <c r="AH260" i="3"/>
  <c r="AG260" i="3"/>
  <c r="AH259" i="3"/>
  <c r="AG259" i="3"/>
  <c r="AH258" i="3"/>
  <c r="AG258" i="3"/>
  <c r="AH257" i="3"/>
  <c r="AG257" i="3"/>
  <c r="AH256" i="3"/>
  <c r="AG256" i="3"/>
  <c r="AH255" i="3"/>
  <c r="AG255" i="3"/>
  <c r="AH254" i="3"/>
  <c r="AG254" i="3"/>
  <c r="AH253" i="3"/>
  <c r="AG253" i="3"/>
  <c r="AH252" i="3"/>
  <c r="AG252" i="3"/>
  <c r="AH251" i="3"/>
  <c r="AG251" i="3"/>
  <c r="AH250" i="3"/>
  <c r="AG250" i="3"/>
  <c r="AH249" i="3"/>
  <c r="AG249" i="3"/>
  <c r="AH248" i="3"/>
  <c r="AG248" i="3"/>
  <c r="AH247" i="3"/>
  <c r="AG247" i="3"/>
  <c r="AH246" i="3"/>
  <c r="AG246" i="3"/>
  <c r="AH245" i="3"/>
  <c r="AG245" i="3"/>
  <c r="AH244" i="3"/>
  <c r="AG244" i="3"/>
  <c r="AH243" i="3"/>
  <c r="AG243" i="3"/>
  <c r="AH242" i="3"/>
  <c r="AG242" i="3"/>
  <c r="AH241" i="3"/>
  <c r="AG241" i="3"/>
  <c r="AH240" i="3"/>
  <c r="AG240" i="3"/>
  <c r="AH239" i="3"/>
  <c r="AG239" i="3"/>
  <c r="AH238" i="3"/>
  <c r="AG238" i="3"/>
  <c r="AH237" i="3"/>
  <c r="AG237" i="3"/>
  <c r="AH236" i="3"/>
  <c r="AG236" i="3"/>
  <c r="AH235" i="3"/>
  <c r="AG235" i="3"/>
  <c r="AH234" i="3"/>
  <c r="AG234" i="3"/>
  <c r="AH233" i="3"/>
  <c r="AG233" i="3"/>
  <c r="AH232" i="3"/>
  <c r="AG232" i="3"/>
  <c r="AH231" i="3"/>
  <c r="AG231" i="3"/>
  <c r="AH230" i="3"/>
  <c r="AG230" i="3"/>
  <c r="AH229" i="3"/>
  <c r="AG229" i="3"/>
  <c r="AH228" i="3"/>
  <c r="AG228" i="3"/>
  <c r="AH227" i="3"/>
  <c r="AG227" i="3"/>
  <c r="AH226" i="3"/>
  <c r="AG226" i="3"/>
  <c r="AH225" i="3"/>
  <c r="AG225" i="3"/>
  <c r="AH224" i="3"/>
  <c r="AG224" i="3"/>
  <c r="AH223" i="3"/>
  <c r="AG223" i="3"/>
  <c r="AH222" i="3"/>
  <c r="AG222" i="3"/>
  <c r="AH221" i="3"/>
  <c r="AG221" i="3"/>
  <c r="AH220" i="3"/>
  <c r="AG220" i="3"/>
  <c r="AH219" i="3"/>
  <c r="AG219" i="3"/>
  <c r="AH218" i="3"/>
  <c r="AG218" i="3"/>
  <c r="AH217" i="3"/>
  <c r="AG217" i="3"/>
  <c r="AH216" i="3"/>
  <c r="AG216" i="3"/>
  <c r="AH215" i="3"/>
  <c r="AG215" i="3"/>
  <c r="AH214" i="3"/>
  <c r="AG214" i="3"/>
  <c r="AH213" i="3"/>
  <c r="AG213" i="3"/>
  <c r="AH212" i="3"/>
  <c r="AG212" i="3"/>
  <c r="AH211" i="3"/>
  <c r="AG211" i="3"/>
  <c r="AH210" i="3"/>
  <c r="AG210" i="3"/>
  <c r="AH209" i="3"/>
  <c r="AG209" i="3"/>
  <c r="AH208" i="3"/>
  <c r="AG208" i="3"/>
  <c r="AH207" i="3"/>
  <c r="AG207" i="3"/>
  <c r="AH206" i="3"/>
  <c r="AG206" i="3"/>
  <c r="AH205" i="3"/>
  <c r="AG205" i="3"/>
  <c r="AH204" i="3"/>
  <c r="AG204" i="3"/>
  <c r="AH203" i="3"/>
  <c r="AG203" i="3"/>
  <c r="AH202" i="3"/>
  <c r="AG202" i="3"/>
  <c r="AH201" i="3"/>
  <c r="AG201" i="3"/>
  <c r="AH200" i="3"/>
  <c r="AG200" i="3"/>
  <c r="AH199" i="3"/>
  <c r="AG199" i="3"/>
  <c r="AH198" i="3"/>
  <c r="AG198" i="3"/>
  <c r="AH197" i="3"/>
  <c r="AG197" i="3"/>
  <c r="AH196" i="3"/>
  <c r="AG196" i="3"/>
  <c r="AH195" i="3"/>
  <c r="AG195" i="3"/>
  <c r="AH194" i="3"/>
  <c r="AG194" i="3"/>
  <c r="AH193" i="3"/>
  <c r="AG193" i="3"/>
  <c r="AH192" i="3"/>
  <c r="AG192" i="3"/>
  <c r="AH191" i="3"/>
  <c r="AG191" i="3"/>
  <c r="AH190" i="3"/>
  <c r="AG190" i="3"/>
  <c r="AH189" i="3"/>
  <c r="AG189" i="3"/>
  <c r="AH188" i="3"/>
  <c r="AG188" i="3"/>
  <c r="AH187" i="3"/>
  <c r="AG187" i="3"/>
  <c r="AH186" i="3"/>
  <c r="AG186" i="3"/>
  <c r="AH185" i="3"/>
  <c r="AG185" i="3"/>
  <c r="AH184" i="3"/>
  <c r="AG184" i="3"/>
  <c r="AH183" i="3"/>
  <c r="AG183" i="3"/>
  <c r="AH182" i="3"/>
  <c r="AG182" i="3"/>
  <c r="AH181" i="3"/>
  <c r="AG181" i="3"/>
  <c r="AH180" i="3"/>
  <c r="AG180" i="3"/>
  <c r="AH179" i="3"/>
  <c r="AG179" i="3"/>
  <c r="AH178" i="3"/>
  <c r="AG178" i="3"/>
  <c r="AH177" i="3"/>
  <c r="AG177" i="3"/>
  <c r="AH176" i="3"/>
  <c r="AG176" i="3"/>
  <c r="AH175" i="3"/>
  <c r="AG175" i="3"/>
  <c r="AH174" i="3"/>
  <c r="AG174" i="3"/>
  <c r="AH173" i="3"/>
  <c r="AG173" i="3"/>
  <c r="AH172" i="3"/>
  <c r="AG172" i="3"/>
  <c r="AH171" i="3"/>
  <c r="AG171" i="3"/>
  <c r="AH170" i="3"/>
  <c r="AG170" i="3"/>
  <c r="AH169" i="3"/>
  <c r="AG169" i="3"/>
  <c r="AH168" i="3"/>
  <c r="AG168" i="3"/>
  <c r="AH167" i="3"/>
  <c r="AG167" i="3"/>
  <c r="AH166" i="3"/>
  <c r="AG166" i="3"/>
  <c r="AH165" i="3"/>
  <c r="AG165" i="3"/>
  <c r="AH164" i="3"/>
  <c r="AG164" i="3"/>
  <c r="AH163" i="3"/>
  <c r="AG163" i="3"/>
  <c r="AG152" i="3"/>
  <c r="AG151" i="3"/>
  <c r="AG150" i="3"/>
  <c r="AG149" i="3"/>
  <c r="AG148" i="3"/>
  <c r="AG147" i="3"/>
  <c r="AG146" i="3"/>
  <c r="AG145" i="3"/>
  <c r="AG144" i="3"/>
  <c r="AG143" i="3"/>
  <c r="AG142" i="3"/>
  <c r="AG141" i="3"/>
  <c r="AG140" i="3"/>
  <c r="AG139" i="3"/>
  <c r="AG138" i="3"/>
  <c r="AG137" i="3"/>
  <c r="AG136" i="3"/>
  <c r="AG135" i="3"/>
  <c r="AG134" i="3"/>
  <c r="AG133" i="3"/>
  <c r="AG132" i="3"/>
  <c r="AG131" i="3"/>
  <c r="AG130" i="3"/>
  <c r="AG129" i="3"/>
  <c r="AH128" i="3"/>
  <c r="AG128" i="3"/>
  <c r="AH127" i="3"/>
  <c r="AG127" i="3"/>
  <c r="AH126" i="3"/>
  <c r="AG126" i="3"/>
  <c r="AH125" i="3"/>
  <c r="AG125" i="3"/>
  <c r="AH124" i="3"/>
  <c r="AG124" i="3"/>
  <c r="AH123" i="3"/>
  <c r="AG123" i="3"/>
  <c r="AH122" i="3"/>
  <c r="AG122" i="3"/>
  <c r="AH121" i="3"/>
  <c r="AG121" i="3"/>
  <c r="AH120" i="3"/>
  <c r="AG120" i="3"/>
  <c r="AH119" i="3"/>
  <c r="AG119" i="3"/>
  <c r="AH118" i="3"/>
  <c r="AG118" i="3"/>
  <c r="AH117" i="3"/>
  <c r="AG117" i="3"/>
  <c r="AH116" i="3"/>
  <c r="AG116" i="3"/>
  <c r="AH115" i="3"/>
  <c r="AG115" i="3"/>
  <c r="AH114" i="3"/>
  <c r="AG114" i="3"/>
  <c r="AH113" i="3"/>
  <c r="AG113" i="3"/>
  <c r="AH112" i="3"/>
  <c r="AG112" i="3"/>
  <c r="AH111" i="3"/>
  <c r="AG111" i="3"/>
  <c r="AH110" i="3"/>
  <c r="AG110" i="3"/>
  <c r="AH109" i="3"/>
  <c r="AG109" i="3"/>
  <c r="AH108" i="3"/>
  <c r="AG108" i="3"/>
  <c r="AH107" i="3"/>
  <c r="AG107" i="3"/>
  <c r="AH106" i="3"/>
  <c r="AG106" i="3"/>
  <c r="AH105" i="3"/>
  <c r="AG105" i="3"/>
  <c r="AG104" i="3"/>
  <c r="AG103" i="3"/>
  <c r="AG102" i="3"/>
  <c r="AG101" i="3"/>
  <c r="AG100" i="3"/>
  <c r="AG99" i="3"/>
  <c r="AG98" i="3"/>
  <c r="AG97" i="3"/>
  <c r="AH96" i="3"/>
  <c r="AG96" i="3"/>
  <c r="AH95" i="3"/>
  <c r="AG95" i="3"/>
  <c r="AH94" i="3"/>
  <c r="AG94" i="3"/>
  <c r="AH93" i="3"/>
  <c r="AG93" i="3"/>
  <c r="AH92" i="3"/>
  <c r="AG92" i="3"/>
  <c r="AH91" i="3"/>
  <c r="AG91" i="3"/>
  <c r="AH90" i="3"/>
  <c r="AG90" i="3"/>
  <c r="AH89" i="3"/>
  <c r="AG89" i="3"/>
  <c r="AH88" i="3"/>
  <c r="AG88" i="3"/>
  <c r="AH87" i="3"/>
  <c r="AG87" i="3"/>
  <c r="AH86" i="3"/>
  <c r="AG86" i="3"/>
  <c r="AH85" i="3"/>
  <c r="AG85" i="3"/>
  <c r="AH84" i="3"/>
  <c r="AG84" i="3"/>
  <c r="AH83" i="3"/>
  <c r="AG83" i="3"/>
  <c r="AH82" i="3"/>
  <c r="AG82" i="3"/>
  <c r="AH81" i="3"/>
  <c r="AG81" i="3"/>
  <c r="AH80" i="3"/>
  <c r="AG80" i="3"/>
  <c r="AH79" i="3"/>
  <c r="AG79" i="3"/>
  <c r="AH78" i="3"/>
  <c r="AG78" i="3"/>
  <c r="AH77" i="3"/>
  <c r="AG77" i="3"/>
  <c r="AH76" i="3"/>
  <c r="AG76" i="3"/>
  <c r="AH75" i="3"/>
  <c r="AG75" i="3"/>
  <c r="AH74" i="3"/>
  <c r="AG74" i="3"/>
  <c r="AG73" i="3"/>
  <c r="AG72" i="3"/>
  <c r="AG71" i="3"/>
  <c r="AG70" i="3"/>
  <c r="AJ68" i="3"/>
  <c r="AJ67" i="3"/>
  <c r="AJ66" i="3"/>
  <c r="AJ65" i="3"/>
  <c r="AJ64" i="3"/>
  <c r="AJ63" i="3"/>
  <c r="AJ62" i="3"/>
  <c r="AJ61" i="3"/>
  <c r="AJ60" i="3"/>
  <c r="AJ59" i="3"/>
  <c r="AJ58" i="3"/>
  <c r="AJ57" i="3"/>
  <c r="AG55" i="3"/>
  <c r="AG54" i="3"/>
  <c r="AG53" i="3"/>
  <c r="AG52" i="3"/>
  <c r="AG51" i="3"/>
  <c r="AH50" i="3"/>
  <c r="AG48" i="3"/>
  <c r="AG46" i="3"/>
  <c r="AG45" i="3"/>
  <c r="AG44" i="3"/>
  <c r="AG42" i="3"/>
  <c r="AG41" i="3"/>
  <c r="AG40" i="3"/>
  <c r="AG39" i="3"/>
  <c r="AG36" i="3"/>
  <c r="AG35" i="3"/>
  <c r="AG34" i="3"/>
  <c r="AG33" i="3"/>
  <c r="AG32" i="3"/>
  <c r="AG31" i="3"/>
  <c r="AG29" i="3"/>
  <c r="AG28" i="3"/>
  <c r="AG25" i="3"/>
  <c r="AG24" i="3"/>
  <c r="AG23" i="3"/>
  <c r="AG22" i="3"/>
  <c r="AG21" i="3"/>
  <c r="AG20" i="3"/>
  <c r="AG19" i="3"/>
  <c r="AG18" i="3"/>
  <c r="AG17" i="3"/>
  <c r="AG16" i="3"/>
  <c r="AH15" i="3"/>
  <c r="AG13" i="3"/>
  <c r="AG12" i="3"/>
  <c r="AG10" i="3"/>
  <c r="AG9" i="3"/>
  <c r="AG8" i="3"/>
  <c r="R50" i="3"/>
  <c r="Z50" i="3"/>
  <c r="R38" i="3"/>
  <c r="Z38" i="3"/>
  <c r="Z15" i="3" l="1"/>
  <c r="Q12" i="3"/>
  <c r="Y12" i="3"/>
  <c r="Z290" i="3"/>
  <c r="Y290" i="3"/>
  <c r="R290" i="3"/>
  <c r="Q290" i="3"/>
  <c r="Z289" i="3"/>
  <c r="Y289" i="3"/>
  <c r="R289" i="3"/>
  <c r="Q289" i="3"/>
  <c r="Z288" i="3"/>
  <c r="Y288" i="3"/>
  <c r="R288" i="3"/>
  <c r="Q288" i="3"/>
  <c r="Z287" i="3"/>
  <c r="Y287" i="3"/>
  <c r="R287" i="3"/>
  <c r="Q287" i="3"/>
  <c r="Z286" i="3"/>
  <c r="Y286" i="3"/>
  <c r="R286" i="3"/>
  <c r="Q286" i="3"/>
  <c r="Z285" i="3"/>
  <c r="Y285" i="3"/>
  <c r="R285" i="3"/>
  <c r="Q285" i="3"/>
  <c r="Z284" i="3"/>
  <c r="Y284" i="3"/>
  <c r="R284" i="3"/>
  <c r="Q284" i="3"/>
  <c r="Z283" i="3"/>
  <c r="Y283" i="3"/>
  <c r="R283" i="3"/>
  <c r="Q283" i="3"/>
  <c r="Z282" i="3"/>
  <c r="Y282" i="3"/>
  <c r="R282" i="3"/>
  <c r="Q282" i="3"/>
  <c r="Z281" i="3"/>
  <c r="Y281" i="3"/>
  <c r="R281" i="3"/>
  <c r="Q281" i="3"/>
  <c r="Z280" i="3"/>
  <c r="Y280" i="3"/>
  <c r="R280" i="3"/>
  <c r="Q280" i="3"/>
  <c r="Z279" i="3"/>
  <c r="Y279" i="3"/>
  <c r="R279" i="3"/>
  <c r="Q279" i="3"/>
  <c r="Z278" i="3"/>
  <c r="Y278" i="3"/>
  <c r="R278" i="3"/>
  <c r="Q278" i="3"/>
  <c r="Z277" i="3"/>
  <c r="Y277" i="3"/>
  <c r="R277" i="3"/>
  <c r="Q277" i="3"/>
  <c r="Z276" i="3"/>
  <c r="Y276" i="3"/>
  <c r="R276" i="3"/>
  <c r="Q276" i="3"/>
  <c r="Z275" i="3"/>
  <c r="Y275" i="3"/>
  <c r="R275" i="3"/>
  <c r="Q275" i="3"/>
  <c r="Z274" i="3"/>
  <c r="Y274" i="3"/>
  <c r="R274" i="3"/>
  <c r="Q274" i="3"/>
  <c r="Z273" i="3"/>
  <c r="Y273" i="3"/>
  <c r="R273" i="3"/>
  <c r="Q273" i="3"/>
  <c r="Z272" i="3"/>
  <c r="Y272" i="3"/>
  <c r="R272" i="3"/>
  <c r="Q272" i="3"/>
  <c r="Z271" i="3"/>
  <c r="Y271" i="3"/>
  <c r="R271" i="3"/>
  <c r="Q271" i="3"/>
  <c r="Z270" i="3"/>
  <c r="Y270" i="3"/>
  <c r="R270" i="3"/>
  <c r="Q270" i="3"/>
  <c r="Z269" i="3"/>
  <c r="Y269" i="3"/>
  <c r="R269" i="3"/>
  <c r="Q269" i="3"/>
  <c r="Z268" i="3"/>
  <c r="Y268" i="3"/>
  <c r="R268" i="3"/>
  <c r="Q268" i="3"/>
  <c r="Z267" i="3"/>
  <c r="Y267" i="3"/>
  <c r="R267" i="3"/>
  <c r="Q267" i="3"/>
  <c r="Z266" i="3"/>
  <c r="Y266" i="3"/>
  <c r="R266" i="3"/>
  <c r="Q266" i="3"/>
  <c r="Z265" i="3"/>
  <c r="Y265" i="3"/>
  <c r="R265" i="3"/>
  <c r="Q265" i="3"/>
  <c r="Z264" i="3"/>
  <c r="Y264" i="3"/>
  <c r="R264" i="3"/>
  <c r="Q264" i="3"/>
  <c r="Z263" i="3"/>
  <c r="Y263" i="3"/>
  <c r="R263" i="3"/>
  <c r="Q263" i="3"/>
  <c r="Z262" i="3"/>
  <c r="Y262" i="3"/>
  <c r="R262" i="3"/>
  <c r="Q262" i="3"/>
  <c r="Z261" i="3"/>
  <c r="Y261" i="3"/>
  <c r="R261" i="3"/>
  <c r="Q261" i="3"/>
  <c r="Z260" i="3"/>
  <c r="Y260" i="3"/>
  <c r="R260" i="3"/>
  <c r="Q260" i="3"/>
  <c r="Z259" i="3"/>
  <c r="Y259" i="3"/>
  <c r="R259" i="3"/>
  <c r="Q259" i="3"/>
  <c r="Z258" i="3"/>
  <c r="Y258" i="3"/>
  <c r="R258" i="3"/>
  <c r="Q258" i="3"/>
  <c r="Z257" i="3"/>
  <c r="Y257" i="3"/>
  <c r="R257" i="3"/>
  <c r="Q257" i="3"/>
  <c r="Z256" i="3"/>
  <c r="Y256" i="3"/>
  <c r="R256" i="3"/>
  <c r="Q256" i="3"/>
  <c r="Z255" i="3"/>
  <c r="Y255" i="3"/>
  <c r="R255" i="3"/>
  <c r="Q255" i="3"/>
  <c r="Z254" i="3"/>
  <c r="Y254" i="3"/>
  <c r="R254" i="3"/>
  <c r="Q254" i="3"/>
  <c r="Z253" i="3"/>
  <c r="Y253" i="3"/>
  <c r="R253" i="3"/>
  <c r="Q253" i="3"/>
  <c r="Z252" i="3"/>
  <c r="Y252" i="3"/>
  <c r="R252" i="3"/>
  <c r="Q252" i="3"/>
  <c r="Z251" i="3"/>
  <c r="Y251" i="3"/>
  <c r="R251" i="3"/>
  <c r="Q251" i="3"/>
  <c r="Z250" i="3"/>
  <c r="Y250" i="3"/>
  <c r="R250" i="3"/>
  <c r="Q250" i="3"/>
  <c r="Z249" i="3"/>
  <c r="Y249" i="3"/>
  <c r="R249" i="3"/>
  <c r="Q249" i="3"/>
  <c r="Z248" i="3"/>
  <c r="Y248" i="3"/>
  <c r="R248" i="3"/>
  <c r="Q248" i="3"/>
  <c r="Z247" i="3"/>
  <c r="Y247" i="3"/>
  <c r="R247" i="3"/>
  <c r="Q247" i="3"/>
  <c r="Z246" i="3"/>
  <c r="Y246" i="3"/>
  <c r="R246" i="3"/>
  <c r="Q246" i="3"/>
  <c r="Z245" i="3"/>
  <c r="Y245" i="3"/>
  <c r="R245" i="3"/>
  <c r="Q245" i="3"/>
  <c r="Z244" i="3"/>
  <c r="Y244" i="3"/>
  <c r="R244" i="3"/>
  <c r="Q244" i="3"/>
  <c r="Z243" i="3"/>
  <c r="Y243" i="3"/>
  <c r="R243" i="3"/>
  <c r="Q243" i="3"/>
  <c r="Z242" i="3"/>
  <c r="Y242" i="3"/>
  <c r="R242" i="3"/>
  <c r="Q242" i="3"/>
  <c r="Z241" i="3"/>
  <c r="Y241" i="3"/>
  <c r="R241" i="3"/>
  <c r="Q241" i="3"/>
  <c r="Z240" i="3"/>
  <c r="Y240" i="3"/>
  <c r="R240" i="3"/>
  <c r="Q240" i="3"/>
  <c r="Z239" i="3"/>
  <c r="Y239" i="3"/>
  <c r="R239" i="3"/>
  <c r="Q239" i="3"/>
  <c r="Z238" i="3"/>
  <c r="Y238" i="3"/>
  <c r="R238" i="3"/>
  <c r="Q238" i="3"/>
  <c r="Z237" i="3"/>
  <c r="Y237" i="3"/>
  <c r="R237" i="3"/>
  <c r="Q237" i="3"/>
  <c r="Z236" i="3"/>
  <c r="Y236" i="3"/>
  <c r="R236" i="3"/>
  <c r="Q236" i="3"/>
  <c r="Z235" i="3"/>
  <c r="Y235" i="3"/>
  <c r="R235" i="3"/>
  <c r="Q235" i="3"/>
  <c r="Z234" i="3"/>
  <c r="Y234" i="3"/>
  <c r="R234" i="3"/>
  <c r="Q234" i="3"/>
  <c r="Z233" i="3"/>
  <c r="Y233" i="3"/>
  <c r="R233" i="3"/>
  <c r="Q233" i="3"/>
  <c r="Z232" i="3"/>
  <c r="Y232" i="3"/>
  <c r="R232" i="3"/>
  <c r="Q232" i="3"/>
  <c r="Z231" i="3"/>
  <c r="Y231" i="3"/>
  <c r="R231" i="3"/>
  <c r="Q231" i="3"/>
  <c r="Z230" i="3"/>
  <c r="Y230" i="3"/>
  <c r="R230" i="3"/>
  <c r="Q230" i="3"/>
  <c r="Z229" i="3"/>
  <c r="Y229" i="3"/>
  <c r="R229" i="3"/>
  <c r="Q229" i="3"/>
  <c r="Z228" i="3"/>
  <c r="Y228" i="3"/>
  <c r="R228" i="3"/>
  <c r="Q228" i="3"/>
  <c r="Z227" i="3"/>
  <c r="Y227" i="3"/>
  <c r="R227" i="3"/>
  <c r="Q227" i="3"/>
  <c r="Z226" i="3"/>
  <c r="Y226" i="3"/>
  <c r="R226" i="3"/>
  <c r="Q226" i="3"/>
  <c r="Z225" i="3"/>
  <c r="Y225" i="3"/>
  <c r="R225" i="3"/>
  <c r="Q225" i="3"/>
  <c r="Z224" i="3"/>
  <c r="Y224" i="3"/>
  <c r="R224" i="3"/>
  <c r="Q224" i="3"/>
  <c r="Z223" i="3"/>
  <c r="Y223" i="3"/>
  <c r="R223" i="3"/>
  <c r="Q223" i="3"/>
  <c r="Z222" i="3"/>
  <c r="Y222" i="3"/>
  <c r="R222" i="3"/>
  <c r="Q222" i="3"/>
  <c r="Z221" i="3"/>
  <c r="Y221" i="3"/>
  <c r="R221" i="3"/>
  <c r="Q221" i="3"/>
  <c r="Z220" i="3"/>
  <c r="Y220" i="3"/>
  <c r="R220" i="3"/>
  <c r="Q220" i="3"/>
  <c r="Z219" i="3"/>
  <c r="Y219" i="3"/>
  <c r="R219" i="3"/>
  <c r="Q219" i="3"/>
  <c r="Z218" i="3"/>
  <c r="Y218" i="3"/>
  <c r="R218" i="3"/>
  <c r="Q218" i="3"/>
  <c r="Z217" i="3"/>
  <c r="Y217" i="3"/>
  <c r="R217" i="3"/>
  <c r="Q217" i="3"/>
  <c r="Z216" i="3"/>
  <c r="Y216" i="3"/>
  <c r="R216" i="3"/>
  <c r="Q216" i="3"/>
  <c r="Z215" i="3"/>
  <c r="Y215" i="3"/>
  <c r="R215" i="3"/>
  <c r="Q215" i="3"/>
  <c r="Z214" i="3"/>
  <c r="Y214" i="3"/>
  <c r="R214" i="3"/>
  <c r="Q214" i="3"/>
  <c r="Z213" i="3"/>
  <c r="Y213" i="3"/>
  <c r="R213" i="3"/>
  <c r="Q213" i="3"/>
  <c r="Z212" i="3"/>
  <c r="Y212" i="3"/>
  <c r="R212" i="3"/>
  <c r="Q212" i="3"/>
  <c r="Z211" i="3"/>
  <c r="Y211" i="3"/>
  <c r="R211" i="3"/>
  <c r="Q211" i="3"/>
  <c r="Z210" i="3"/>
  <c r="Y210" i="3"/>
  <c r="R210" i="3"/>
  <c r="Q210" i="3"/>
  <c r="Z209" i="3"/>
  <c r="Y209" i="3"/>
  <c r="R209" i="3"/>
  <c r="Q209" i="3"/>
  <c r="Z208" i="3"/>
  <c r="Y208" i="3"/>
  <c r="R208" i="3"/>
  <c r="Q208" i="3"/>
  <c r="Z207" i="3"/>
  <c r="Y207" i="3"/>
  <c r="R207" i="3"/>
  <c r="Q207" i="3"/>
  <c r="Z206" i="3"/>
  <c r="Y206" i="3"/>
  <c r="R206" i="3"/>
  <c r="Q206" i="3"/>
  <c r="Z205" i="3"/>
  <c r="Y205" i="3"/>
  <c r="R205" i="3"/>
  <c r="Q205" i="3"/>
  <c r="Z204" i="3"/>
  <c r="Y204" i="3"/>
  <c r="R204" i="3"/>
  <c r="Q204" i="3"/>
  <c r="Z203" i="3"/>
  <c r="Y203" i="3"/>
  <c r="R203" i="3"/>
  <c r="Q203" i="3"/>
  <c r="Z202" i="3"/>
  <c r="Y202" i="3"/>
  <c r="R202" i="3"/>
  <c r="Q202" i="3"/>
  <c r="Z201" i="3"/>
  <c r="Y201" i="3"/>
  <c r="R201" i="3"/>
  <c r="Q201" i="3"/>
  <c r="Z200" i="3"/>
  <c r="Y200" i="3"/>
  <c r="R200" i="3"/>
  <c r="Q200" i="3"/>
  <c r="Z199" i="3"/>
  <c r="Y199" i="3"/>
  <c r="R199" i="3"/>
  <c r="Q199" i="3"/>
  <c r="Z198" i="3"/>
  <c r="Y198" i="3"/>
  <c r="R198" i="3"/>
  <c r="Q198" i="3"/>
  <c r="Z197" i="3"/>
  <c r="Y197" i="3"/>
  <c r="R197" i="3"/>
  <c r="Q197" i="3"/>
  <c r="Z196" i="3"/>
  <c r="Y196" i="3"/>
  <c r="R196" i="3"/>
  <c r="Q196" i="3"/>
  <c r="Z195" i="3"/>
  <c r="Y195" i="3"/>
  <c r="R195" i="3"/>
  <c r="Q195" i="3"/>
  <c r="Z194" i="3"/>
  <c r="Y194" i="3"/>
  <c r="R194" i="3"/>
  <c r="Q194" i="3"/>
  <c r="Z193" i="3"/>
  <c r="Y193" i="3"/>
  <c r="R193" i="3"/>
  <c r="Q193" i="3"/>
  <c r="Z192" i="3"/>
  <c r="Y192" i="3"/>
  <c r="R192" i="3"/>
  <c r="Q192" i="3"/>
  <c r="Z191" i="3"/>
  <c r="Y191" i="3"/>
  <c r="R191" i="3"/>
  <c r="Q191" i="3"/>
  <c r="Z190" i="3"/>
  <c r="Y190" i="3"/>
  <c r="R190" i="3"/>
  <c r="Q190" i="3"/>
  <c r="Z189" i="3"/>
  <c r="Y189" i="3"/>
  <c r="R189" i="3"/>
  <c r="Q189" i="3"/>
  <c r="Z188" i="3"/>
  <c r="Y188" i="3"/>
  <c r="R188" i="3"/>
  <c r="Q188" i="3"/>
  <c r="Z187" i="3"/>
  <c r="Y187" i="3"/>
  <c r="R187" i="3"/>
  <c r="Q187" i="3"/>
  <c r="Z186" i="3"/>
  <c r="Y186" i="3"/>
  <c r="R186" i="3"/>
  <c r="Q186" i="3"/>
  <c r="Z185" i="3"/>
  <c r="Y185" i="3"/>
  <c r="R185" i="3"/>
  <c r="Q185" i="3"/>
  <c r="Z184" i="3"/>
  <c r="Y184" i="3"/>
  <c r="R184" i="3"/>
  <c r="Q184" i="3"/>
  <c r="Z183" i="3"/>
  <c r="Y183" i="3"/>
  <c r="R183" i="3"/>
  <c r="Q183" i="3"/>
  <c r="Z182" i="3"/>
  <c r="Y182" i="3"/>
  <c r="R182" i="3"/>
  <c r="Q182" i="3"/>
  <c r="Z181" i="3"/>
  <c r="Y181" i="3"/>
  <c r="R181" i="3"/>
  <c r="Q181" i="3"/>
  <c r="Z180" i="3"/>
  <c r="Y180" i="3"/>
  <c r="R180" i="3"/>
  <c r="Q180" i="3"/>
  <c r="Z179" i="3"/>
  <c r="Y179" i="3"/>
  <c r="R179" i="3"/>
  <c r="Q179" i="3"/>
  <c r="Z178" i="3"/>
  <c r="Y178" i="3"/>
  <c r="R178" i="3"/>
  <c r="Q178" i="3"/>
  <c r="Z177" i="3"/>
  <c r="Y177" i="3"/>
  <c r="R177" i="3"/>
  <c r="Q177" i="3"/>
  <c r="Z176" i="3"/>
  <c r="Y176" i="3"/>
  <c r="R176" i="3"/>
  <c r="Q176" i="3"/>
  <c r="Z175" i="3"/>
  <c r="Y175" i="3"/>
  <c r="R175" i="3"/>
  <c r="Q175" i="3"/>
  <c r="Z174" i="3"/>
  <c r="Y174" i="3"/>
  <c r="R174" i="3"/>
  <c r="Q174" i="3"/>
  <c r="Z173" i="3"/>
  <c r="Y173" i="3"/>
  <c r="R173" i="3"/>
  <c r="Q173" i="3"/>
  <c r="Z172" i="3"/>
  <c r="Y172" i="3"/>
  <c r="R172" i="3"/>
  <c r="Q172" i="3"/>
  <c r="Z171" i="3"/>
  <c r="Y171" i="3"/>
  <c r="R171" i="3"/>
  <c r="Q171" i="3"/>
  <c r="Z170" i="3"/>
  <c r="Y170" i="3"/>
  <c r="R170" i="3"/>
  <c r="Q170" i="3"/>
  <c r="Z169" i="3"/>
  <c r="Y169" i="3"/>
  <c r="R169" i="3"/>
  <c r="Q169" i="3"/>
  <c r="Z168" i="3"/>
  <c r="Y168" i="3"/>
  <c r="R168" i="3"/>
  <c r="Q168" i="3"/>
  <c r="Z167" i="3"/>
  <c r="Y167" i="3"/>
  <c r="R167" i="3"/>
  <c r="Q167" i="3"/>
  <c r="Z166" i="3"/>
  <c r="Y166" i="3"/>
  <c r="R166" i="3"/>
  <c r="Q166" i="3"/>
  <c r="Z165" i="3"/>
  <c r="Y165" i="3"/>
  <c r="R165" i="3"/>
  <c r="Q165" i="3"/>
  <c r="Z164" i="3"/>
  <c r="Y164" i="3"/>
  <c r="R164" i="3"/>
  <c r="Q164" i="3"/>
  <c r="Z163" i="3"/>
  <c r="Y163" i="3"/>
  <c r="R163" i="3"/>
  <c r="Q163" i="3"/>
  <c r="Z128" i="3"/>
  <c r="Y128" i="3"/>
  <c r="Z127" i="3"/>
  <c r="Y127" i="3"/>
  <c r="Z126" i="3"/>
  <c r="Y126" i="3"/>
  <c r="Z125" i="3"/>
  <c r="Y125" i="3"/>
  <c r="Z124" i="3"/>
  <c r="Y124" i="3"/>
  <c r="Z123" i="3"/>
  <c r="Y123" i="3"/>
  <c r="Z122" i="3"/>
  <c r="Y122" i="3"/>
  <c r="Z121" i="3"/>
  <c r="Y121" i="3"/>
  <c r="Z120" i="3"/>
  <c r="Y120" i="3"/>
  <c r="Z119" i="3"/>
  <c r="Y119" i="3"/>
  <c r="Z118" i="3"/>
  <c r="Y118" i="3"/>
  <c r="Z117" i="3"/>
  <c r="Y117" i="3"/>
  <c r="Z116" i="3"/>
  <c r="Y116" i="3"/>
  <c r="Z115" i="3"/>
  <c r="Y115" i="3"/>
  <c r="Z114" i="3"/>
  <c r="Y114" i="3"/>
  <c r="Z113" i="3"/>
  <c r="Y113" i="3"/>
  <c r="Z112" i="3"/>
  <c r="Y112" i="3"/>
  <c r="Z111" i="3"/>
  <c r="Y111" i="3"/>
  <c r="Z110" i="3"/>
  <c r="Y110" i="3"/>
  <c r="Z109" i="3"/>
  <c r="Y109" i="3"/>
  <c r="Z108" i="3"/>
  <c r="Y108" i="3"/>
  <c r="Z107" i="3"/>
  <c r="Y107" i="3"/>
  <c r="Z106" i="3"/>
  <c r="Y106" i="3"/>
  <c r="Z105" i="3"/>
  <c r="Y105" i="3"/>
  <c r="Z96" i="3"/>
  <c r="Y96" i="3"/>
  <c r="Z95" i="3"/>
  <c r="Y95" i="3"/>
  <c r="Z94" i="3"/>
  <c r="Y94" i="3"/>
  <c r="Z93" i="3"/>
  <c r="Y93" i="3"/>
  <c r="Z92" i="3"/>
  <c r="Y92" i="3"/>
  <c r="Z91" i="3"/>
  <c r="Y91" i="3"/>
  <c r="Z90" i="3"/>
  <c r="Y90" i="3"/>
  <c r="Z89" i="3"/>
  <c r="Y89" i="3"/>
  <c r="Z88" i="3"/>
  <c r="Y88" i="3"/>
  <c r="Z87" i="3"/>
  <c r="Y87" i="3"/>
  <c r="Z86" i="3"/>
  <c r="Y86" i="3"/>
  <c r="Z85" i="3"/>
  <c r="Y85" i="3"/>
  <c r="Z84" i="3"/>
  <c r="Y84" i="3"/>
  <c r="Z83" i="3"/>
  <c r="Y83" i="3"/>
  <c r="Z82" i="3"/>
  <c r="Y82" i="3"/>
  <c r="Z81" i="3"/>
  <c r="Y81" i="3"/>
  <c r="Z80" i="3"/>
  <c r="Y80" i="3"/>
  <c r="Z79" i="3"/>
  <c r="Y79" i="3"/>
  <c r="Z78" i="3"/>
  <c r="Y78" i="3"/>
  <c r="Z77" i="3"/>
  <c r="Y77" i="3"/>
  <c r="Z76" i="3"/>
  <c r="Y76" i="3"/>
  <c r="Z75" i="3"/>
  <c r="Y75" i="3"/>
  <c r="Z74" i="3"/>
  <c r="Y74" i="3"/>
  <c r="Y73" i="3"/>
  <c r="Y72" i="3"/>
  <c r="Y71" i="3"/>
  <c r="Y70" i="3"/>
  <c r="Z47" i="3"/>
  <c r="Y41" i="3"/>
  <c r="Y35" i="3"/>
  <c r="Z24" i="3"/>
  <c r="Y24" i="3"/>
  <c r="Y152" i="3"/>
  <c r="Y151" i="3"/>
  <c r="Y150" i="3"/>
  <c r="Y149" i="3"/>
  <c r="Y148" i="3"/>
  <c r="Y147" i="3"/>
  <c r="Y146" i="3"/>
  <c r="Y145" i="3"/>
  <c r="Y144" i="3"/>
  <c r="Y143" i="3"/>
  <c r="Y142" i="3"/>
  <c r="Y141" i="3"/>
  <c r="Y140" i="3"/>
  <c r="Y139" i="3"/>
  <c r="Y138" i="3"/>
  <c r="Y137" i="3"/>
  <c r="Y136" i="3"/>
  <c r="Y135" i="3"/>
  <c r="Y134" i="3"/>
  <c r="Y133" i="3"/>
  <c r="Y132" i="3"/>
  <c r="Y131" i="3"/>
  <c r="Y130" i="3"/>
  <c r="Y129" i="3"/>
  <c r="Y104" i="3"/>
  <c r="Y103" i="3"/>
  <c r="Y102" i="3"/>
  <c r="Y101" i="3"/>
  <c r="Y100" i="3"/>
  <c r="Y99" i="3"/>
  <c r="Y98" i="3"/>
  <c r="Y97" i="3"/>
  <c r="AB68" i="3"/>
  <c r="AB67" i="3"/>
  <c r="AB66" i="3"/>
  <c r="AB65" i="3"/>
  <c r="AB64" i="3"/>
  <c r="AB63" i="3"/>
  <c r="AB62" i="3"/>
  <c r="AB61" i="3"/>
  <c r="AB60" i="3"/>
  <c r="AB59" i="3"/>
  <c r="AB58" i="3"/>
  <c r="AB57" i="3"/>
  <c r="Y55" i="3"/>
  <c r="Y54" i="3"/>
  <c r="Y53" i="3"/>
  <c r="Y52" i="3"/>
  <c r="Y51" i="3"/>
  <c r="Y48" i="3"/>
  <c r="Y46" i="3"/>
  <c r="Y45" i="3"/>
  <c r="Y42" i="3"/>
  <c r="Y40" i="3"/>
  <c r="Y39" i="3"/>
  <c r="Y36" i="3"/>
  <c r="Y34" i="3"/>
  <c r="Y33" i="3"/>
  <c r="Y32" i="3"/>
  <c r="Y31" i="3"/>
  <c r="Y29" i="3"/>
  <c r="Y28" i="3"/>
  <c r="Y25" i="3"/>
  <c r="Y23" i="3"/>
  <c r="Y22" i="3"/>
  <c r="Y21" i="3"/>
  <c r="Y20" i="3"/>
  <c r="Y19" i="3"/>
  <c r="Y18" i="3"/>
  <c r="Y17" i="3"/>
  <c r="Y16" i="3"/>
  <c r="Y13" i="3"/>
  <c r="Y10" i="3"/>
  <c r="Y9" i="3"/>
  <c r="Y8" i="3"/>
  <c r="Q104" i="3" l="1"/>
  <c r="Q103" i="3"/>
  <c r="Q102" i="3"/>
  <c r="Q101" i="3"/>
  <c r="Q100" i="3"/>
  <c r="Q99" i="3"/>
  <c r="Q98" i="3"/>
  <c r="Q97" i="3"/>
  <c r="R96" i="3"/>
  <c r="Q96" i="3"/>
  <c r="R95" i="3"/>
  <c r="Q95" i="3"/>
  <c r="R94" i="3"/>
  <c r="Q94" i="3"/>
  <c r="R93" i="3"/>
  <c r="Q93" i="3"/>
  <c r="R92" i="3"/>
  <c r="Q92" i="3"/>
  <c r="R91" i="3"/>
  <c r="Q91" i="3"/>
  <c r="R90" i="3"/>
  <c r="Q90" i="3"/>
  <c r="R89" i="3"/>
  <c r="Q89" i="3"/>
  <c r="Q105" i="3"/>
  <c r="R105" i="3"/>
  <c r="R88" i="3"/>
  <c r="Q88" i="3"/>
  <c r="R87" i="3"/>
  <c r="Q87" i="3"/>
  <c r="R86" i="3"/>
  <c r="Q86" i="3"/>
  <c r="R85" i="3"/>
  <c r="Q85" i="3"/>
  <c r="R84" i="3"/>
  <c r="Q84" i="3"/>
  <c r="R83" i="3"/>
  <c r="Q83" i="3"/>
  <c r="R82" i="3"/>
  <c r="Q82" i="3"/>
  <c r="R81" i="3"/>
  <c r="Q81" i="3"/>
  <c r="R80" i="3"/>
  <c r="Q80" i="3"/>
  <c r="R79" i="3"/>
  <c r="Q79" i="3"/>
  <c r="R78" i="3"/>
  <c r="Q78" i="3"/>
  <c r="R77" i="3"/>
  <c r="Q77" i="3"/>
  <c r="R76" i="3"/>
  <c r="Q76" i="3"/>
  <c r="R75" i="3"/>
  <c r="Q75" i="3"/>
  <c r="R74" i="3"/>
  <c r="Q74" i="3"/>
  <c r="Q73" i="3"/>
  <c r="Q72" i="3"/>
  <c r="Q71" i="3"/>
  <c r="Q70" i="3"/>
  <c r="Q48" i="3"/>
  <c r="Q47" i="3"/>
  <c r="Q46" i="3"/>
  <c r="Q45" i="3"/>
  <c r="Q42" i="3"/>
  <c r="Q41" i="3"/>
  <c r="Q40" i="3"/>
  <c r="Q39" i="3"/>
  <c r="Q36" i="3"/>
  <c r="Q51" i="3"/>
  <c r="Q35" i="3"/>
  <c r="Q34" i="3"/>
  <c r="Q33" i="3"/>
  <c r="Q32" i="3"/>
  <c r="Q31" i="3"/>
  <c r="Q13" i="3"/>
  <c r="Q29" i="3"/>
  <c r="Q28" i="3"/>
  <c r="Q25" i="3"/>
  <c r="R24" i="3"/>
  <c r="Q24" i="3"/>
  <c r="Q23" i="3"/>
  <c r="Q22" i="3"/>
  <c r="Q21" i="3"/>
  <c r="Q20" i="3"/>
  <c r="Q19" i="3"/>
  <c r="Q18" i="3"/>
  <c r="Q152" i="3"/>
  <c r="Q151" i="3"/>
  <c r="Q150" i="3"/>
  <c r="Q149" i="3"/>
  <c r="Q148" i="3"/>
  <c r="Q147" i="3"/>
  <c r="Q146" i="3"/>
  <c r="Q145" i="3"/>
  <c r="Q144" i="3"/>
  <c r="Q143" i="3"/>
  <c r="Q142" i="3"/>
  <c r="Q141" i="3"/>
  <c r="Q140" i="3"/>
  <c r="Q139" i="3"/>
  <c r="Q138" i="3"/>
  <c r="Q137" i="3"/>
  <c r="Q136" i="3"/>
  <c r="Q135" i="3"/>
  <c r="Q134" i="3"/>
  <c r="Q133" i="3"/>
  <c r="Q132" i="3"/>
  <c r="Q131" i="3"/>
  <c r="Q130" i="3"/>
  <c r="Q129" i="3"/>
  <c r="Q118" i="3"/>
  <c r="R118" i="3"/>
  <c r="Q119" i="3"/>
  <c r="R119" i="3"/>
  <c r="Q120" i="3"/>
  <c r="R120" i="3"/>
  <c r="Q121" i="3"/>
  <c r="R121" i="3"/>
  <c r="Q122" i="3"/>
  <c r="R122" i="3"/>
  <c r="Q123" i="3"/>
  <c r="R123" i="3"/>
  <c r="Q124" i="3"/>
  <c r="R124" i="3"/>
  <c r="Q125" i="3"/>
  <c r="R125" i="3"/>
  <c r="Q126" i="3"/>
  <c r="R126" i="3"/>
  <c r="Q127" i="3"/>
  <c r="R127" i="3"/>
  <c r="Q128" i="3"/>
  <c r="R128" i="3"/>
  <c r="R117" i="3"/>
  <c r="Q117" i="3"/>
  <c r="R116" i="3"/>
  <c r="Q116" i="3"/>
  <c r="R115" i="3"/>
  <c r="Q115" i="3"/>
  <c r="R114" i="3"/>
  <c r="Q114" i="3"/>
  <c r="R113" i="3"/>
  <c r="Q113" i="3"/>
  <c r="R112" i="3"/>
  <c r="Q112" i="3"/>
  <c r="R111" i="3"/>
  <c r="Q111" i="3"/>
  <c r="R110" i="3"/>
  <c r="Q110" i="3"/>
  <c r="R109" i="3"/>
  <c r="Q109" i="3"/>
  <c r="R108" i="3"/>
  <c r="Q108" i="3"/>
  <c r="R107" i="3"/>
  <c r="Q107" i="3"/>
  <c r="R106" i="3"/>
  <c r="Q106" i="3"/>
  <c r="T68" i="3"/>
  <c r="T67" i="3"/>
  <c r="T66" i="3"/>
  <c r="T65" i="3"/>
  <c r="T64" i="3"/>
  <c r="T63" i="3"/>
  <c r="T62" i="3"/>
  <c r="T61" i="3"/>
  <c r="T60" i="3"/>
  <c r="T59" i="3"/>
  <c r="T58" i="3"/>
  <c r="T57" i="3"/>
  <c r="Q55" i="3"/>
  <c r="Q54" i="3"/>
  <c r="Q53" i="3"/>
  <c r="Q52" i="3"/>
  <c r="Q17" i="3"/>
  <c r="Q16" i="3"/>
  <c r="Q10" i="3"/>
  <c r="Q9" i="3"/>
  <c r="Q8" i="3"/>
  <c r="J64" i="3"/>
  <c r="J63" i="3"/>
  <c r="J62" i="3"/>
  <c r="J61" i="3"/>
  <c r="J60" i="3"/>
  <c r="J59" i="3"/>
  <c r="J58" i="3"/>
  <c r="J57" i="3"/>
  <c r="J68" i="3"/>
  <c r="J67" i="3"/>
  <c r="J66" i="3"/>
  <c r="J65" i="3"/>
  <c r="AG58" i="3" l="1"/>
  <c r="AO58" i="3"/>
  <c r="AG61" i="3"/>
  <c r="AO61" i="3"/>
  <c r="AG65" i="3"/>
  <c r="AO65" i="3"/>
  <c r="AG67" i="3"/>
  <c r="AO67" i="3"/>
  <c r="AG66" i="3"/>
  <c r="AO66" i="3"/>
  <c r="AG63" i="3"/>
  <c r="AO63" i="3"/>
  <c r="AG68" i="3"/>
  <c r="AO68" i="3"/>
  <c r="AG57" i="3"/>
  <c r="AO57" i="3"/>
  <c r="AG60" i="3"/>
  <c r="AO60" i="3"/>
  <c r="AG62" i="3"/>
  <c r="AO62" i="3"/>
  <c r="AG64" i="3"/>
  <c r="AO64" i="3"/>
  <c r="AG59" i="3"/>
  <c r="AO59" i="3"/>
  <c r="Q66" i="3"/>
  <c r="Y66" i="3"/>
  <c r="Q68" i="3"/>
  <c r="Y68" i="3"/>
  <c r="Q57" i="3"/>
  <c r="Y57" i="3"/>
  <c r="Q58" i="3"/>
  <c r="Y58" i="3"/>
  <c r="Q59" i="3"/>
  <c r="Y59" i="3"/>
  <c r="Q60" i="3"/>
  <c r="Y60" i="3"/>
  <c r="Q61" i="3"/>
  <c r="Y61" i="3"/>
  <c r="Q62" i="3"/>
  <c r="Y62" i="3"/>
  <c r="Q63" i="3"/>
  <c r="Y63" i="3"/>
  <c r="Q64" i="3"/>
  <c r="Y64" i="3"/>
  <c r="Q65" i="3"/>
  <c r="Y65" i="3"/>
  <c r="Q67" i="3"/>
  <c r="Y67" i="3"/>
</calcChain>
</file>

<file path=xl/sharedStrings.xml><?xml version="1.0" encoding="utf-8"?>
<sst xmlns="http://schemas.openxmlformats.org/spreadsheetml/2006/main" count="3984" uniqueCount="714">
  <si>
    <t>Comment</t>
  </si>
  <si>
    <t>ID</t>
  </si>
  <si>
    <t>Sequence</t>
  </si>
  <si>
    <t>Step</t>
  </si>
  <si>
    <t>Function</t>
  </si>
  <si>
    <t>Test</t>
  </si>
  <si>
    <t>Signals</t>
  </si>
  <si>
    <t>P.00</t>
  </si>
  <si>
    <t>P.01</t>
  </si>
  <si>
    <t>Power</t>
  </si>
  <si>
    <t>3V3</t>
  </si>
  <si>
    <t>12V</t>
  </si>
  <si>
    <t>RESET_N</t>
  </si>
  <si>
    <t>5V</t>
  </si>
  <si>
    <t>I2C</t>
  </si>
  <si>
    <t>VREF</t>
  </si>
  <si>
    <t>LSHM</t>
  </si>
  <si>
    <t>MPIO</t>
  </si>
  <si>
    <t>*</t>
  </si>
  <si>
    <t>Mechanical</t>
  </si>
  <si>
    <t>NA</t>
  </si>
  <si>
    <t>Spacer N-Top</t>
  </si>
  <si>
    <t>ADC/DAC</t>
  </si>
  <si>
    <t>Pass /Fail</t>
  </si>
  <si>
    <t>Nominal value</t>
  </si>
  <si>
    <t>Tolerance</t>
  </si>
  <si>
    <t>Pass</t>
  </si>
  <si>
    <t>Measure 3V3 rail with DMM</t>
  </si>
  <si>
    <t>VREF power</t>
  </si>
  <si>
    <t>VREF Supply</t>
  </si>
  <si>
    <t>P.02</t>
  </si>
  <si>
    <t>P.03</t>
  </si>
  <si>
    <t>P.04</t>
  </si>
  <si>
    <t>P.05</t>
  </si>
  <si>
    <t>P.06</t>
  </si>
  <si>
    <t>P.07</t>
  </si>
  <si>
    <t>P.08</t>
  </si>
  <si>
    <t>P.09</t>
  </si>
  <si>
    <t>P.10</t>
  </si>
  <si>
    <t>P.11</t>
  </si>
  <si>
    <t>P.12</t>
  </si>
  <si>
    <t>P.13</t>
  </si>
  <si>
    <t>P.14</t>
  </si>
  <si>
    <t>P.15</t>
  </si>
  <si>
    <t>P.16</t>
  </si>
  <si>
    <t>P.17</t>
  </si>
  <si>
    <t>P.18</t>
  </si>
  <si>
    <t>P.19</t>
  </si>
  <si>
    <t>P.20</t>
  </si>
  <si>
    <t>P.21</t>
  </si>
  <si>
    <t>P.22</t>
  </si>
  <si>
    <t>P.23</t>
  </si>
  <si>
    <t>P.24</t>
  </si>
  <si>
    <t>P.25</t>
  </si>
  <si>
    <t>P.26</t>
  </si>
  <si>
    <t>P.27</t>
  </si>
  <si>
    <t>P.28</t>
  </si>
  <si>
    <t>P.29</t>
  </si>
  <si>
    <t>M.00</t>
  </si>
  <si>
    <t>M.01</t>
  </si>
  <si>
    <t>Make sure M1,M2 fits mechanically</t>
  </si>
  <si>
    <t>Spacers</t>
  </si>
  <si>
    <t>Make sure reset pin works as expected</t>
  </si>
  <si>
    <t>IO Expander</t>
  </si>
  <si>
    <t>Analog Channel</t>
  </si>
  <si>
    <t>N-Top</t>
  </si>
  <si>
    <t>Make sure LSHM mapping is right</t>
  </si>
  <si>
    <t>C.00</t>
  </si>
  <si>
    <t>C.01</t>
  </si>
  <si>
    <t>VDD</t>
  </si>
  <si>
    <t>Power Switch</t>
  </si>
  <si>
    <t>Latch</t>
  </si>
  <si>
    <t>UART-RS485</t>
  </si>
  <si>
    <t>VS-</t>
  </si>
  <si>
    <t>VS+</t>
  </si>
  <si>
    <t>I2C Tranceivers</t>
  </si>
  <si>
    <t>RS485_RX*</t>
  </si>
  <si>
    <t>PRESENCEn</t>
  </si>
  <si>
    <t>6V5_LIM</t>
  </si>
  <si>
    <t>Power LED</t>
  </si>
  <si>
    <t>LED_GREEN</t>
  </si>
  <si>
    <t>MIC_IN_L</t>
  </si>
  <si>
    <t>MIC_IN_Ln</t>
  </si>
  <si>
    <t>MIC_IN_R</t>
  </si>
  <si>
    <t>MIC_IN_Rn</t>
  </si>
  <si>
    <t>Audio Load</t>
  </si>
  <si>
    <t>Fixed Load</t>
  </si>
  <si>
    <t>GND_SW3_OUT</t>
  </si>
  <si>
    <t>GND_SW0_OUT</t>
  </si>
  <si>
    <t>GND_SW1_OUT</t>
  </si>
  <si>
    <t>GND_SW2_OUT</t>
  </si>
  <si>
    <t>M.2 Active Load</t>
  </si>
  <si>
    <t>M.2 PSU</t>
  </si>
  <si>
    <t>Fixture Link</t>
  </si>
  <si>
    <t>VDD Supply</t>
  </si>
  <si>
    <t>Measure VDD rail with DMM</t>
  </si>
  <si>
    <t>6V5</t>
  </si>
  <si>
    <t>Measure VREF rail with DMM</t>
  </si>
  <si>
    <t>UART-RS485 power</t>
  </si>
  <si>
    <t>Measure over C1+/C1- capacitor with DMM</t>
  </si>
  <si>
    <t>C1+/-</t>
  </si>
  <si>
    <t>C2+/-</t>
  </si>
  <si>
    <t>Measure over C2+/C2- capacitor with DMM</t>
  </si>
  <si>
    <t>Measure over VS+ capacitor with DMM</t>
  </si>
  <si>
    <t>Measure over VS- capacitor with DMM</t>
  </si>
  <si>
    <t>Make sure the power LED goes green when fixture link is active</t>
  </si>
  <si>
    <t>Audio Bias Load</t>
  </si>
  <si>
    <t>Audio Phantom Load</t>
  </si>
  <si>
    <t>P.30</t>
  </si>
  <si>
    <t>P.31</t>
  </si>
  <si>
    <t>P.32</t>
  </si>
  <si>
    <t>P.33</t>
  </si>
  <si>
    <t>P.34</t>
  </si>
  <si>
    <t>P.35</t>
  </si>
  <si>
    <t>P.36</t>
  </si>
  <si>
    <t>P.37</t>
  </si>
  <si>
    <t>P.38</t>
  </si>
  <si>
    <t>SDA_1,SCL_1</t>
  </si>
  <si>
    <t>SDA_2,SCL_2</t>
  </si>
  <si>
    <t>SDA_3,SCL_3</t>
  </si>
  <si>
    <t>SDA_4,SCL_4</t>
  </si>
  <si>
    <t>Make sure reset pin works as expected at power up</t>
  </si>
  <si>
    <t>Make sure PRESENCEn pin works as expected</t>
  </si>
  <si>
    <t>LSHM Presence</t>
  </si>
  <si>
    <t>Spacers M.2 Active Load</t>
  </si>
  <si>
    <t>Spacers M.2 PSU</t>
  </si>
  <si>
    <t>M.02</t>
  </si>
  <si>
    <t>Make sure M3,M4 fits mechanically</t>
  </si>
  <si>
    <t>Make sure M5,M6 fits mechanically</t>
  </si>
  <si>
    <t>RS485_TX*</t>
  </si>
  <si>
    <t>RS485_TX*,RS485_RX*,RS485_EN,UART_*</t>
  </si>
  <si>
    <t>LATCH_*</t>
  </si>
  <si>
    <t>C.02</t>
  </si>
  <si>
    <t>C.03</t>
  </si>
  <si>
    <t>C.04</t>
  </si>
  <si>
    <t>Make sure M.2 Active Load mapping is right</t>
  </si>
  <si>
    <t>Make sure N-Top mapping is right</t>
  </si>
  <si>
    <t>Make sure M.2 PSU mapping is right</t>
  </si>
  <si>
    <t>Make sure Fixture Link mapping is right</t>
  </si>
  <si>
    <t>Make sure Audio Load mapping is right</t>
  </si>
  <si>
    <t>C.05</t>
  </si>
  <si>
    <t>Measure 6V5 rail with DMM</t>
  </si>
  <si>
    <t>Fail</t>
  </si>
  <si>
    <t>Activate GND_SW0 and measure the load current @ 5V</t>
  </si>
  <si>
    <t>Activate GND_SW2 and measure the load current @ 5V</t>
  </si>
  <si>
    <t>Activate GND_SW3 and measure the load current @ 5V</t>
  </si>
  <si>
    <t>Activate GND_SW1 and measure the load current @ 5V</t>
  </si>
  <si>
    <t>Activate MIC_BIAS_LOAD_R and measure the load current @ 5V</t>
  </si>
  <si>
    <t>Activate MIC_BIAS_LOAD_Rn and measure the load current @ 5V</t>
  </si>
  <si>
    <t>Activate PHANTOM_LOAD_Ln and measure the load current @ 5V</t>
  </si>
  <si>
    <t>Activate PHANTOM_LOAD_L and measure the load current @ 5V</t>
  </si>
  <si>
    <t>Activate PHANTOM_LOAD_Rn and measure the load current @ 5V</t>
  </si>
  <si>
    <t>Activate PHANTOM_LOAD_R and measure the load current @ 5V</t>
  </si>
  <si>
    <t>Activate MIC_BIAS_LOAD_Ln and measure the load current @ 5V</t>
  </si>
  <si>
    <t>Activate MIC_BIAS_LOAD_L and measure the load current @ 5V</t>
  </si>
  <si>
    <t>FE_MPIO_1</t>
  </si>
  <si>
    <t>FE_MPIO_2</t>
  </si>
  <si>
    <t>FE_MPIO_3</t>
  </si>
  <si>
    <t>FE_MPIO_4</t>
  </si>
  <si>
    <t>FE_MPIO_5</t>
  </si>
  <si>
    <t>FE_MPIO_6</t>
  </si>
  <si>
    <t>FE_MPIO_7</t>
  </si>
  <si>
    <t>FE_MPIO_8</t>
  </si>
  <si>
    <t>FE_MPIO_9</t>
  </si>
  <si>
    <t>FE_MPIO_10</t>
  </si>
  <si>
    <t>FE_MPIO_11</t>
  </si>
  <si>
    <t>M.03</t>
  </si>
  <si>
    <t>No Mounts</t>
  </si>
  <si>
    <t>Verify all no mounts</t>
  </si>
  <si>
    <t>V</t>
  </si>
  <si>
    <t>Unit</t>
  </si>
  <si>
    <t>Measure 12 V rail with DMM</t>
  </si>
  <si>
    <t>Enable the 12V_EXT switch and measure 12V_EXT rail with DMM</t>
  </si>
  <si>
    <t>12V_EXT</t>
  </si>
  <si>
    <t>Measure 5V rail with DMM</t>
  </si>
  <si>
    <t>3V3_LIM</t>
  </si>
  <si>
    <t>3V3_EXT</t>
  </si>
  <si>
    <t>5V_LIM</t>
  </si>
  <si>
    <t>VADJ_EXT</t>
  </si>
  <si>
    <t>VIO_EXT</t>
  </si>
  <si>
    <t>1V8_EXT</t>
  </si>
  <si>
    <t>mA</t>
  </si>
  <si>
    <t>VMON_12V_EXT</t>
  </si>
  <si>
    <t>Measure VMON_12V_EXT with ADC. Compare to DMM reading.</t>
  </si>
  <si>
    <t>VMON_3V3_EXT</t>
  </si>
  <si>
    <t>Measure VMON_3V3_EXT with ADC. Compare to DMM reading.</t>
  </si>
  <si>
    <t>Measured DMM</t>
  </si>
  <si>
    <t>DMM vs ADC</t>
  </si>
  <si>
    <t>VMON_1V8_EXT</t>
  </si>
  <si>
    <t>Measure VMON_1V8_EXT with ADC. Compare to DMM reading.</t>
  </si>
  <si>
    <t>VMON_VADJ_EXT</t>
  </si>
  <si>
    <t>VMON_VIO_EXT</t>
  </si>
  <si>
    <t>Measure VMON_VIO_EXT with ADC. Compare to DMM reading.</t>
  </si>
  <si>
    <t>IMON_12V_EXT_R</t>
  </si>
  <si>
    <t>IMON_3V3_EXT_R</t>
  </si>
  <si>
    <t>IMON_1V8_EXT</t>
  </si>
  <si>
    <t>Measure IMON_1V8_EXT with ADC. Compare to DMM reading.</t>
  </si>
  <si>
    <t>IMON_VADJ_EXT</t>
  </si>
  <si>
    <t>IMON_VIO_EXT</t>
  </si>
  <si>
    <t>Add 15V with isolated supply @ MIC_IN_L and measure the bias voltage from ADC</t>
  </si>
  <si>
    <t>Add 15V with isolated supply @ MIC_IN_Ln and measure the bias voltage from ADC</t>
  </si>
  <si>
    <t>Add 15V with isolated supply @ MIC_IN_R and measure the bias voltage from ADC</t>
  </si>
  <si>
    <t>Add 15V with isolated supply @ MIC_IN_Rn and measure the bias voltage from ADC</t>
  </si>
  <si>
    <t>Add 0.1V with isolated supply @ MIC_IN_Rn and measure the bias voltage from ADC</t>
  </si>
  <si>
    <t>Add 0.1V with isolated supply @ MIC_IN_R and measure the bias voltage from ADC</t>
  </si>
  <si>
    <t>Add 0.1V with isolated supply @ MIC_IN_Ln and measure the bias voltage from ADC</t>
  </si>
  <si>
    <t>Add 0.1V with isolated supply @ MIC_IN_L and measure the bias voltage from ADC</t>
  </si>
  <si>
    <t>RS485</t>
  </si>
  <si>
    <t>Add logic '1' on Buffer generating RS485_TX* and measure the voltage from ADC</t>
  </si>
  <si>
    <t>Add 5V over GND_SW0_OUT and measure the voltage from ADC</t>
  </si>
  <si>
    <t>Add 5V over GND_SW1_OUT and measure the voltage from ADC</t>
  </si>
  <si>
    <t>Add 5V over GND_SW2_OUT and measure the voltage from ADC</t>
  </si>
  <si>
    <t>Add 5V over GND_SW3_OUT and measure the voltage from ADC</t>
  </si>
  <si>
    <t>Add 0.1V over GND_SW0_OUT and measure the voltage from ADC</t>
  </si>
  <si>
    <t>Add 0.1V over GND_SW1_OUT and measure the voltage from ADC</t>
  </si>
  <si>
    <t>Add 0.1V over GND_SW2_OUT and measure the voltage from ADC</t>
  </si>
  <si>
    <t>Add 0.1V over GND_SW3_OUT and measure the voltage from ADC</t>
  </si>
  <si>
    <t>A002927</t>
  </si>
  <si>
    <t>Enable the 5V_LIM switch (VIO_EN) and measure 5V_LIM rail with DMM</t>
  </si>
  <si>
    <t>Enable the 6V5_LIM (VADJ_EN) switch and measure 6V5_LIM rail with DMM</t>
  </si>
  <si>
    <t>Enable the 3V3_LIM (EXT_1V8_EN) switch and measure 3V3_LIM rail with DMM</t>
  </si>
  <si>
    <t>Measured ADC Max</t>
  </si>
  <si>
    <t>Measured ADC Min</t>
  </si>
  <si>
    <t>Tolerance Max</t>
  </si>
  <si>
    <t>Tolerance Min</t>
  </si>
  <si>
    <t>Add 0.1V over RS485_RX* and measure the voltage from ADC</t>
  </si>
  <si>
    <t>x</t>
  </si>
  <si>
    <t>Add 2.5V over RS485_RX* and measure the voltage from ADC</t>
  </si>
  <si>
    <t>Increase current load on 12V_EXT. Make sure PG is working and shuts down at around 500mA.</t>
  </si>
  <si>
    <t>Measure the maximum current at EN for 12V_EXT</t>
  </si>
  <si>
    <t>Increase current load on 3V3_EXT. Make sure PG is working and shuts down at around 500mA.</t>
  </si>
  <si>
    <t>Measure the maximum current at EN for 3V3_EXT</t>
  </si>
  <si>
    <t>Increase current load on VADJ_EXT. Make sure PG is working and shuts down at around 500mA.</t>
  </si>
  <si>
    <t>Measure the maximum current at EN for VADJ_EXT</t>
  </si>
  <si>
    <t>Measure the maximum current at EN for 1V8_EXT</t>
  </si>
  <si>
    <t>Increase current load on VIO_EXT. Make sure PG is working and shuts down at around 500mA.</t>
  </si>
  <si>
    <t>Measure the maximum current at EN for VIO_EXT</t>
  </si>
  <si>
    <t>FE_MPIO</t>
  </si>
  <si>
    <t>FE_MPIO_0</t>
  </si>
  <si>
    <t>Add 0.1V over FE_MPIO_* and measure the voltage from ADC</t>
  </si>
  <si>
    <t>Add 4V over FE_MPIO_* and measure the voltage from ADC</t>
  </si>
  <si>
    <t>Output 0.1V over FE_MPIO_* and measure the voltage via DMM</t>
  </si>
  <si>
    <t>Output 4V over FE_MPIO_* and measure the voltage via DMM</t>
  </si>
  <si>
    <t>USR_GPIO_1</t>
  </si>
  <si>
    <t>Set USR_GPIO_* as input. Make sure VIL under 0.8V gives LOW. Make sure VIH over 2.0V gives HIGH.</t>
  </si>
  <si>
    <t>USR_GPIO_2</t>
  </si>
  <si>
    <t>USR_GPIO_3</t>
  </si>
  <si>
    <t>USR_GPIO_4</t>
  </si>
  <si>
    <t>Set USR_GPIO_* as output. Make sure VOL is under 0.5V. Make sure VOH is over 2.3V.</t>
  </si>
  <si>
    <t>Gain should be 1/1.2103=0.8262</t>
  </si>
  <si>
    <t>12V DC/DC</t>
  </si>
  <si>
    <t>IDC</t>
  </si>
  <si>
    <t>Make sure 12V is available at all IDCs</t>
  </si>
  <si>
    <t>6V5 DC/DC</t>
  </si>
  <si>
    <t>6V5/VADJ</t>
  </si>
  <si>
    <t>Measure VMON_VADJ_EXT at 6V with ADC. Compare to DMM reading.</t>
  </si>
  <si>
    <t>Make sure 5V is available at all IDCs</t>
  </si>
  <si>
    <t>Should have been the system rail for all 12V next to 5V not after switch. Only the single 12V should be after switch</t>
  </si>
  <si>
    <t>Measure IMON_12V_EXT_R with ADC at 300mA. Compare to DMM reading. Datasheet nominal gain: 1.21V / A.</t>
  </si>
  <si>
    <t>Measure IMON_VADJ_EXT with ADC at 300mA. Compare to DMM reading.</t>
  </si>
  <si>
    <t>5V/VIO</t>
  </si>
  <si>
    <t>5V DC/DC</t>
  </si>
  <si>
    <t>Measure IMON_VIO_EXT with ADC at 300mA. Compare to DMM reading.</t>
  </si>
  <si>
    <t>3V3 LDO</t>
  </si>
  <si>
    <t>Measure VIO rail @1.5V with DMM at IDC</t>
  </si>
  <si>
    <t>Measure VIO rail @1.8V with DMM at IDC</t>
  </si>
  <si>
    <t>Measure VIO rail @2.5V with DMM at IDC</t>
  </si>
  <si>
    <t>Measure VIO rail @3.3V with DMM at IDC</t>
  </si>
  <si>
    <t>Measure VADJ rail @1.5V with DMM at IDC</t>
  </si>
  <si>
    <t>Measure VADJ rail @1.8V with DMM at IDC</t>
  </si>
  <si>
    <t>Measure VADJ rail @2.5V with DMM at IDC</t>
  </si>
  <si>
    <t>Measure VADJ rail @3.3V with DMM at IDC</t>
  </si>
  <si>
    <t>Measure VADJ rail @5V with DMM at IDC</t>
  </si>
  <si>
    <t>Measure VADJ rail @6V with DMM at IDC</t>
  </si>
  <si>
    <t>Enable the 3V3_EXT switch and measure 3V3_EXT rail with DMM at IDC</t>
  </si>
  <si>
    <t>6V5_LIM Switch</t>
  </si>
  <si>
    <t>12V_EXT Switch</t>
  </si>
  <si>
    <t>5V_LIM Switch</t>
  </si>
  <si>
    <t>3V3_LIM Switch</t>
  </si>
  <si>
    <t>3V3_EXT Switch</t>
  </si>
  <si>
    <t>3V3/1V8</t>
  </si>
  <si>
    <t>Measure IMON_3V3_EXT_R with ADC at 300mA. Compare to DMM reading.</t>
  </si>
  <si>
    <t>1V8 LDO</t>
  </si>
  <si>
    <t>Increase current load on 1V8_EXT. Make sure PG is working and shuts down at around 500mA.</t>
  </si>
  <si>
    <t>Enable the 3V3_LIM (EXT_1V8_EN) switch and measure 1V8_EXT rail with DMM at IDC</t>
  </si>
  <si>
    <t>MPIO_0</t>
  </si>
  <si>
    <t>MPIO_1</t>
  </si>
  <si>
    <t>MPIO_2</t>
  </si>
  <si>
    <t>MPIO_3</t>
  </si>
  <si>
    <t>Add 0.1V over MPIO_* and measure the voltage from ADC</t>
  </si>
  <si>
    <t>Add 4V over MPIO_* and measure the voltage from ADC</t>
  </si>
  <si>
    <t>Output 0.1V over MPIO_* and measure the voltage via DMM</t>
  </si>
  <si>
    <t>Output 4V over MPIO_* and measure the voltage via DMM</t>
  </si>
  <si>
    <t>GPIO</t>
  </si>
  <si>
    <t>P.39</t>
  </si>
  <si>
    <t>P.40</t>
  </si>
  <si>
    <t>P.41</t>
  </si>
  <si>
    <t>P.42</t>
  </si>
  <si>
    <t>P.43</t>
  </si>
  <si>
    <t>P.44</t>
  </si>
  <si>
    <t>P.45</t>
  </si>
  <si>
    <t>P.46</t>
  </si>
  <si>
    <t>P.47</t>
  </si>
  <si>
    <t>P.48</t>
  </si>
  <si>
    <t>P.49</t>
  </si>
  <si>
    <t>P.50</t>
  </si>
  <si>
    <t>P.51</t>
  </si>
  <si>
    <t>P.52</t>
  </si>
  <si>
    <t>P.53</t>
  </si>
  <si>
    <t>P.54</t>
  </si>
  <si>
    <t>P.55</t>
  </si>
  <si>
    <t>P.56</t>
  </si>
  <si>
    <t>P.57</t>
  </si>
  <si>
    <t>P.58</t>
  </si>
  <si>
    <t>P.59</t>
  </si>
  <si>
    <t>P.60</t>
  </si>
  <si>
    <t>ADC</t>
  </si>
  <si>
    <t>DAC</t>
  </si>
  <si>
    <t>User IO</t>
  </si>
  <si>
    <t>Ctrl IO</t>
  </si>
  <si>
    <t>Analog High Range Channels</t>
  </si>
  <si>
    <t>Calibrate all channels</t>
  </si>
  <si>
    <t>AIN_*_CH[1:8]</t>
  </si>
  <si>
    <t>AIN_P_CH1</t>
  </si>
  <si>
    <t>AIN_N_CH1</t>
  </si>
  <si>
    <t>AIN_P_CH2</t>
  </si>
  <si>
    <t>AIN_N_CH2</t>
  </si>
  <si>
    <t>AIN_P_CH3</t>
  </si>
  <si>
    <t>AIN_N_CH3</t>
  </si>
  <si>
    <t>AIN_P_CH4</t>
  </si>
  <si>
    <t>AIN_N_CH4</t>
  </si>
  <si>
    <t>AIN_P_CH5</t>
  </si>
  <si>
    <t>AIN_N_CH5</t>
  </si>
  <si>
    <t>AIN_P_CH6</t>
  </si>
  <si>
    <t>AIN_N_CH6</t>
  </si>
  <si>
    <t>AIN_P_CH7</t>
  </si>
  <si>
    <t>AIN_N_CH7</t>
  </si>
  <si>
    <t>AIN_P_CH8</t>
  </si>
  <si>
    <t>AIN_N_CH8</t>
  </si>
  <si>
    <t>Set FE_MPIO_* as pseudo digital in with threshold 4.5V and 0.5V. Test input at 5V and 0V.</t>
  </si>
  <si>
    <t>Set LATCH*_POL low.
Set LATCH*_PULL high.
Toggle LATCH*_RESETn low and high.
Make sure LATCH*_VALUE is high.
Set LATCH_* low and back floating.
Make sure LATCH*_VALUE is low.</t>
  </si>
  <si>
    <t>Set LATCH*_POL high.
Set LATCH*_PULL low.
Toggle LATCH*_RESETn low and high.
Make sure LATCH*_VALUE is low.
Set LATCH_* high and back floating.
Make sure LATCH*_VALUE is high.</t>
  </si>
  <si>
    <t>Loop back RS485 TX to RX and send frames, make sure received frames match sent frames. Try up to 1Mbps.</t>
  </si>
  <si>
    <t>PWM</t>
  </si>
  <si>
    <t>Set frequency and duty cycle, check from oscilloscope at different voltage ranges</t>
  </si>
  <si>
    <t>RESETn</t>
  </si>
  <si>
    <t>Connectors</t>
  </si>
  <si>
    <t>CIO.00</t>
  </si>
  <si>
    <t>CIO.01</t>
  </si>
  <si>
    <t>CIO.02</t>
  </si>
  <si>
    <t>CIO.03</t>
  </si>
  <si>
    <t>CIO.04</t>
  </si>
  <si>
    <t>CIO.05</t>
  </si>
  <si>
    <t>UIO.00</t>
  </si>
  <si>
    <t>UIO.01</t>
  </si>
  <si>
    <t>UIO.02</t>
  </si>
  <si>
    <t>UIO.03</t>
  </si>
  <si>
    <t>UIO.04</t>
  </si>
  <si>
    <t>UIO.05</t>
  </si>
  <si>
    <t>UIO.06</t>
  </si>
  <si>
    <t>UIO.07</t>
  </si>
  <si>
    <t>UIO.08</t>
  </si>
  <si>
    <t>UIO.09</t>
  </si>
  <si>
    <t>UIO.10</t>
  </si>
  <si>
    <t>UIO.11</t>
  </si>
  <si>
    <t>UIO.12</t>
  </si>
  <si>
    <t>UIO.13</t>
  </si>
  <si>
    <t>UIO.14</t>
  </si>
  <si>
    <t>UIO.15</t>
  </si>
  <si>
    <t>UIO.16</t>
  </si>
  <si>
    <t>UIO.17</t>
  </si>
  <si>
    <t>UIO.18</t>
  </si>
  <si>
    <t>UIO.19</t>
  </si>
  <si>
    <t>UIO.20</t>
  </si>
  <si>
    <t>UIO.21</t>
  </si>
  <si>
    <t>UIO.22</t>
  </si>
  <si>
    <t>UIO.23</t>
  </si>
  <si>
    <t>UIO.24</t>
  </si>
  <si>
    <t>UIO.25</t>
  </si>
  <si>
    <t>UIO.26</t>
  </si>
  <si>
    <t>UIO.27</t>
  </si>
  <si>
    <t>UIO.28</t>
  </si>
  <si>
    <t>UIO.29</t>
  </si>
  <si>
    <t>UIO.30</t>
  </si>
  <si>
    <t>UIO.31</t>
  </si>
  <si>
    <t>UIO.32</t>
  </si>
  <si>
    <t>UIO.33</t>
  </si>
  <si>
    <t>UIO.34</t>
  </si>
  <si>
    <t>UIO.35</t>
  </si>
  <si>
    <t>UIO.36</t>
  </si>
  <si>
    <t>UIO.37</t>
  </si>
  <si>
    <t>UIO.38</t>
  </si>
  <si>
    <t>UIO.39</t>
  </si>
  <si>
    <t>UIO.40</t>
  </si>
  <si>
    <t>UIO.41</t>
  </si>
  <si>
    <t>UIO.42</t>
  </si>
  <si>
    <t>UIO.43</t>
  </si>
  <si>
    <t>UIO.44</t>
  </si>
  <si>
    <t>UIO.45</t>
  </si>
  <si>
    <t>UIO.46</t>
  </si>
  <si>
    <t>UIO.47</t>
  </si>
  <si>
    <t>UIO.48</t>
  </si>
  <si>
    <t>UIO.49</t>
  </si>
  <si>
    <t>UIO.50</t>
  </si>
  <si>
    <t>UIO.51</t>
  </si>
  <si>
    <t>UIO.52</t>
  </si>
  <si>
    <t>UIO.53</t>
  </si>
  <si>
    <t>UIO.54</t>
  </si>
  <si>
    <t>UIO.55</t>
  </si>
  <si>
    <t>UIO.56</t>
  </si>
  <si>
    <t>UIO.57</t>
  </si>
  <si>
    <t>UIO.58</t>
  </si>
  <si>
    <t>UIO.59</t>
  </si>
  <si>
    <t>UIO.60</t>
  </si>
  <si>
    <t>UIO.61</t>
  </si>
  <si>
    <t>UIO.62</t>
  </si>
  <si>
    <t>UIO.63</t>
  </si>
  <si>
    <t>UIO.64</t>
  </si>
  <si>
    <t>UIO.65</t>
  </si>
  <si>
    <t>UIO.66</t>
  </si>
  <si>
    <t>UIO.67</t>
  </si>
  <si>
    <t>UIO.68</t>
  </si>
  <si>
    <t>UIO.69</t>
  </si>
  <si>
    <t>UIO.70</t>
  </si>
  <si>
    <t>UIO.71</t>
  </si>
  <si>
    <t>UIO.72</t>
  </si>
  <si>
    <t>UIO.73</t>
  </si>
  <si>
    <t>UIO.74</t>
  </si>
  <si>
    <t>UIO.75</t>
  </si>
  <si>
    <t>UIO.76</t>
  </si>
  <si>
    <t>UIO.77</t>
  </si>
  <si>
    <t>UIO.78</t>
  </si>
  <si>
    <t>UIO.79</t>
  </si>
  <si>
    <t>UIO.80</t>
  </si>
  <si>
    <t>UIO.81</t>
  </si>
  <si>
    <t>UIO.82</t>
  </si>
  <si>
    <t>UIO.83</t>
  </si>
  <si>
    <t>UIO.84</t>
  </si>
  <si>
    <t>UIO.85</t>
  </si>
  <si>
    <t>UIO.86</t>
  </si>
  <si>
    <t>UIO.87</t>
  </si>
  <si>
    <t>UIO.88</t>
  </si>
  <si>
    <t>UIO.89</t>
  </si>
  <si>
    <t>UIO.90</t>
  </si>
  <si>
    <t>UIO.91</t>
  </si>
  <si>
    <t>UIO.92</t>
  </si>
  <si>
    <t>UIO.93</t>
  </si>
  <si>
    <t>UIO.94</t>
  </si>
  <si>
    <t>UIO.95</t>
  </si>
  <si>
    <t>UIO.96</t>
  </si>
  <si>
    <t>UIO.97</t>
  </si>
  <si>
    <t>UIO.98</t>
  </si>
  <si>
    <t>UIO.99</t>
  </si>
  <si>
    <t>UIO.100</t>
  </si>
  <si>
    <t>UIO.101</t>
  </si>
  <si>
    <t>UIO.102</t>
  </si>
  <si>
    <t>UIO.103</t>
  </si>
  <si>
    <t>UIO.104</t>
  </si>
  <si>
    <t>UIO.105</t>
  </si>
  <si>
    <t>UIO.106</t>
  </si>
  <si>
    <t>UIO.107</t>
  </si>
  <si>
    <t>UIO.108</t>
  </si>
  <si>
    <t>UIO.109</t>
  </si>
  <si>
    <t>UIO.110</t>
  </si>
  <si>
    <t>UIO.111</t>
  </si>
  <si>
    <t>UIO.112</t>
  </si>
  <si>
    <t>UIO.113</t>
  </si>
  <si>
    <t>UIO.114</t>
  </si>
  <si>
    <t>UIO.115</t>
  </si>
  <si>
    <t>UIO.116</t>
  </si>
  <si>
    <t>UIO.117</t>
  </si>
  <si>
    <t>UIO.118</t>
  </si>
  <si>
    <t>UIO.119</t>
  </si>
  <si>
    <t>UIO.120</t>
  </si>
  <si>
    <t>UIO.121</t>
  </si>
  <si>
    <t>UIO.122</t>
  </si>
  <si>
    <t>UIO.123</t>
  </si>
  <si>
    <t>UIO.124</t>
  </si>
  <si>
    <t>UIO.125</t>
  </si>
  <si>
    <t>UIO.126</t>
  </si>
  <si>
    <t>UIO.127</t>
  </si>
  <si>
    <t>UIO.128</t>
  </si>
  <si>
    <t>UIO.129</t>
  </si>
  <si>
    <t>UIO.130</t>
  </si>
  <si>
    <t>UIO.131</t>
  </si>
  <si>
    <t>UIO.132</t>
  </si>
  <si>
    <t>UIO.133</t>
  </si>
  <si>
    <t>UIO.134</t>
  </si>
  <si>
    <t>UIO.135</t>
  </si>
  <si>
    <t>UIO.136</t>
  </si>
  <si>
    <t>UIO.137</t>
  </si>
  <si>
    <t>UIO.138</t>
  </si>
  <si>
    <t>UIO.139</t>
  </si>
  <si>
    <t>UIO.140</t>
  </si>
  <si>
    <t>UIO.141</t>
  </si>
  <si>
    <t>UIO.142</t>
  </si>
  <si>
    <t>UIO.143</t>
  </si>
  <si>
    <t>UIO.144</t>
  </si>
  <si>
    <t>UIO.145</t>
  </si>
  <si>
    <t>UIO.146</t>
  </si>
  <si>
    <t>UIO.147</t>
  </si>
  <si>
    <t>UIO.148</t>
  </si>
  <si>
    <t>UIO.149</t>
  </si>
  <si>
    <t>UIO.150</t>
  </si>
  <si>
    <t>UIO.151</t>
  </si>
  <si>
    <t>UIO.152</t>
  </si>
  <si>
    <t>UIO.153</t>
  </si>
  <si>
    <t>UIO.154</t>
  </si>
  <si>
    <t>UIO.155</t>
  </si>
  <si>
    <t>UIO.156</t>
  </si>
  <si>
    <t>UIO.157</t>
  </si>
  <si>
    <t>UIO.158</t>
  </si>
  <si>
    <t>UIO.159</t>
  </si>
  <si>
    <t>UIO.160</t>
  </si>
  <si>
    <t>UIO.161</t>
  </si>
  <si>
    <t>UIO.162</t>
  </si>
  <si>
    <t>UIO.163</t>
  </si>
  <si>
    <t>UIO.164</t>
  </si>
  <si>
    <t>UIO.165</t>
  </si>
  <si>
    <t>UIO.166</t>
  </si>
  <si>
    <t>UIO.167</t>
  </si>
  <si>
    <t>UIO.168</t>
  </si>
  <si>
    <t>UIO.169</t>
  </si>
  <si>
    <t>UIO.170</t>
  </si>
  <si>
    <t>UIO.171</t>
  </si>
  <si>
    <t>UIO.172</t>
  </si>
  <si>
    <t>UIO.173</t>
  </si>
  <si>
    <t>UIO.174</t>
  </si>
  <si>
    <t>UIO.175</t>
  </si>
  <si>
    <t>UIO.176</t>
  </si>
  <si>
    <t>UIO.177</t>
  </si>
  <si>
    <t>UIO.178</t>
  </si>
  <si>
    <t>UIO.179</t>
  </si>
  <si>
    <t>UIO.180</t>
  </si>
  <si>
    <t>UIO.181</t>
  </si>
  <si>
    <t>UIO.182</t>
  </si>
  <si>
    <t>UIO.183</t>
  </si>
  <si>
    <t>UIO.184</t>
  </si>
  <si>
    <t>UIO.185</t>
  </si>
  <si>
    <t>&gt;0,2</t>
  </si>
  <si>
    <t>Find all devices over I2C_1 (I2C23). ADC/DAC @0x10, 0x11, 0x48, 0x49 and 0x4A, GPIOExpander @0x20, IDC Top IDPROM @ 0x50-0x57, LED Driver 0x28, 0x3C.</t>
  </si>
  <si>
    <t>Find the M.2 PSU over I2C_3 (I2C25). Find 0x48, 0x4D, 0x50,-0x57</t>
  </si>
  <si>
    <t>A002928</t>
  </si>
  <si>
    <t>Find the M.2 Active Load over I2C_2 (I2C24). Find 0x0C, 0x10, 0x14, 0x48, 0x49, 0x50,-0x57.</t>
  </si>
  <si>
    <t>Gain 2 test: Add 1V over AIN_*_CH* and measure the voltage from ADC</t>
  </si>
  <si>
    <t>Gain 0,5 test: Add 8V over AIN_*_CH* and measure the voltage from ADC</t>
  </si>
  <si>
    <t>Gain 0,25 test: Add 16V over AIN_*_CH* and measure the voltage from ADC</t>
  </si>
  <si>
    <t>Gain 0,125 test: Add 30V over AIN_*_CH* and measure the voltage from ADC</t>
  </si>
  <si>
    <t>Gain 16 test: Add 0,05V over AIN_*_CH* and measure the voltage from ADC</t>
  </si>
  <si>
    <t>Gain 8 test: Add 0,1V over AIN_*_CH* and measure the voltage from ADC</t>
  </si>
  <si>
    <t>Gain 4 test: Add 0,5V over AIN_*_CH* and measure the voltage from ADC</t>
  </si>
  <si>
    <t>Gain 1 test: Add 2V over AIN_*_CH* and measure the voltage from ADC</t>
  </si>
  <si>
    <t>Active Load</t>
  </si>
  <si>
    <t>Use Phoenix connector Channel 0. Set external power supply to 5V, 2A. Set load to 1A. Measure current from DMM and ADC</t>
  </si>
  <si>
    <t>Use Phoenix connector Channel 0. Set external power supply to 5V, 2A. Set load to 1A. Measure local voltage.</t>
  </si>
  <si>
    <t>Use Phoenix connector Channel 0. Set external power supply to 5V, 2A. Set load to 1A. Measure remote voltage from DMM and ADC</t>
  </si>
  <si>
    <t>Use Phoenix connector Channel 0. Set external power supply to 5V, 2A. Set load to 2A. Measure current from DMM and ADC</t>
  </si>
  <si>
    <t>Use Phoenix connector Channel 0. Set external power supply to 5V, 2A. Set load to 2A. Measure local voltage.</t>
  </si>
  <si>
    <t>Use Phoenix connector Channel 0. Set external power supply to 5V, 2A. Set load to 2A. Measure remote voltage from DMM and ADC</t>
  </si>
  <si>
    <t>Use Phoenix connector Channel 0. Set external power supply to 5V, 2A. Set load to 0,5A. Measure remote voltage from DMM and ADC</t>
  </si>
  <si>
    <t>Use Phoenix connector Channel 0. Set external power supply to 5V, 2A. Set load to 0,5A. Measure local voltage.</t>
  </si>
  <si>
    <t>Use Phoenix connector Channel 0. Set external power supply to 5V, 2A. Set load to 0,5A. Measure current from DMM and ADC</t>
  </si>
  <si>
    <t>Use Phoenix connector Channel 1. Set external power supply to 5V, 2A. Set load to 0,5A. Measure current from DMM and ADC</t>
  </si>
  <si>
    <t>Use Phoenix connector Channel 1. Set external power supply to 5V, 2A. Set load to 0,5A. Measure local voltage.</t>
  </si>
  <si>
    <t>Use Phoenix connector Channel 1. Set external power supply to 5V, 2A. Set load to 0,5A. Measure remote voltage from DMM and ADC</t>
  </si>
  <si>
    <t>Use Phoenix connector Channel 1. Set external power supply to 5V, 2A. Set load to 1A. Measure current from DMM and ADC</t>
  </si>
  <si>
    <t>Use Phoenix connector Channel 1. Set external power supply to 5V, 2A. Set load to 1A. Measure local voltage.</t>
  </si>
  <si>
    <t>Use Phoenix connector Channel 1. Set external power supply to 5V, 2A. Set load to 1A. Measure remote voltage from DMM and ADC</t>
  </si>
  <si>
    <t>Use Phoenix connector Channel 1. Set external power supply to 5V, 2A. Set load to 2A. Measure current from DMM and ADC</t>
  </si>
  <si>
    <t>Use Phoenix connector Channel 1. Set external power supply to 5V, 2A. Set load to 2A. Measure local voltage.</t>
  </si>
  <si>
    <t>Use Phoenix connector Channel 1. Set external power supply to 5V, 2A. Set load to 2A. Measure remote voltage from DMM and ADC</t>
  </si>
  <si>
    <t>4.93</t>
  </si>
  <si>
    <t>FE_MPIO_*</t>
  </si>
  <si>
    <t>Fail on one board</t>
  </si>
  <si>
    <t>Input over 24V gives a larger error than allowed. It is a common mode issue in the PGA. -12 on negative input and 12V on possitive input works. But the specified +/-35V probably means +35 to gnd or -35V to gnd. To fix this the resistor divider must divide by more than 6 so that the PGA input common mode is within allowed range.</t>
  </si>
  <si>
    <t>30V fail.
-24V Fail.</t>
  </si>
  <si>
    <t>30V fail.
-24V pass</t>
  </si>
  <si>
    <t>-30V fail.
-24V Fail on one board</t>
  </si>
  <si>
    <t>30V fail.
24V pass</t>
  </si>
  <si>
    <t>UIO.186</t>
  </si>
  <si>
    <t>UIO.187</t>
  </si>
  <si>
    <t>UIO.188</t>
  </si>
  <si>
    <t>UIO.189</t>
  </si>
  <si>
    <t>UIO.190</t>
  </si>
  <si>
    <t>UIO.191</t>
  </si>
  <si>
    <t>UIO.192</t>
  </si>
  <si>
    <t>UIO.193</t>
  </si>
  <si>
    <t>UIO.194</t>
  </si>
  <si>
    <t>UIO.195</t>
  </si>
  <si>
    <t>UIO.196</t>
  </si>
  <si>
    <t>UIO.197</t>
  </si>
  <si>
    <t>UIO.198</t>
  </si>
  <si>
    <t>UIO.199</t>
  </si>
  <si>
    <t>UIO.200</t>
  </si>
  <si>
    <t>UIO.201</t>
  </si>
  <si>
    <t>UIO.202</t>
  </si>
  <si>
    <t>UIO.203</t>
  </si>
  <si>
    <t>UIO.204</t>
  </si>
  <si>
    <t>UIO.205</t>
  </si>
  <si>
    <t>UIO.206</t>
  </si>
  <si>
    <t>UIO.207</t>
  </si>
  <si>
    <t>UIO.208</t>
  </si>
  <si>
    <t>UIO.209</t>
  </si>
  <si>
    <t>UIO.210</t>
  </si>
  <si>
    <t>UIO.211</t>
  </si>
  <si>
    <t>UIO.212</t>
  </si>
  <si>
    <t>UIO.213</t>
  </si>
  <si>
    <t>UIO.214</t>
  </si>
  <si>
    <t>UIO.215</t>
  </si>
  <si>
    <t>UIO.216</t>
  </si>
  <si>
    <t>UIO.217</t>
  </si>
  <si>
    <t>UIO.218</t>
  </si>
  <si>
    <t>UIO.219</t>
  </si>
  <si>
    <t>UIO.220</t>
  </si>
  <si>
    <t>UIO.221</t>
  </si>
  <si>
    <t>UIO.222</t>
  </si>
  <si>
    <t>UIO.223</t>
  </si>
  <si>
    <t>UIO.224</t>
  </si>
  <si>
    <t>UIO.225</t>
  </si>
  <si>
    <t>UIO.226</t>
  </si>
  <si>
    <t>UIO.227</t>
  </si>
  <si>
    <t>UIO.228</t>
  </si>
  <si>
    <t>UIO.229</t>
  </si>
  <si>
    <t>UIO.230</t>
  </si>
  <si>
    <t>UIO.231</t>
  </si>
  <si>
    <t>UIO.232</t>
  </si>
  <si>
    <t>UIO.233</t>
  </si>
  <si>
    <t>UIO.234</t>
  </si>
  <si>
    <t>UIO.235</t>
  </si>
  <si>
    <t>UIO.236</t>
  </si>
  <si>
    <t>UIO.237</t>
  </si>
  <si>
    <t>UIO.238</t>
  </si>
  <si>
    <t>UIO.239</t>
  </si>
  <si>
    <t>UIO.240</t>
  </si>
  <si>
    <t>UIO.241</t>
  </si>
  <si>
    <t>UIO.242</t>
  </si>
  <si>
    <t>UIO.243</t>
  </si>
  <si>
    <t>Measured by oscilloscope</t>
  </si>
  <si>
    <t>Measure I2C driven from Controller to fullfill V in low of I2C spec UM10204 @1.5V.</t>
  </si>
  <si>
    <t>Measure I2C driven from Device to fullfill V in low max of I2C spec UM10204 @1.5V.</t>
  </si>
  <si>
    <t>Measure I2C driven from Controller to fullfill V in low max of I2C spec UM10204 @1.8V.</t>
  </si>
  <si>
    <t>Measure I2C driven from Device to fullfill V in low max  of I2C spec UM10204 @1.8V.</t>
  </si>
  <si>
    <t>Measure I2C driven from Controller to fullfill V in low max of I2C spec UM10204 @125V.</t>
  </si>
  <si>
    <t>Measure I2C driven from Controller to fullfill V in low max of I2C spec UM10204 @3.3V.</t>
  </si>
  <si>
    <t>Measure I2C driven from Device to fullfill V in low max of I2C spec UM10204 @2.5V.</t>
  </si>
  <si>
    <t>Measure I2C driven from Device to fullfill V in low max of I2C spec UM10204 @ 3.3V.</t>
  </si>
  <si>
    <t>Measure I2C to fullfill t low min of I2C spec UM10204 @1.5V.</t>
  </si>
  <si>
    <t>Measure I2C to fullfill t low min of I2C spec UM10204 @3.3V.</t>
  </si>
  <si>
    <t>Measure I2C to fullfill t low min of I2C spec UM10204 @2.5V.</t>
  </si>
  <si>
    <t>Measure I2C to fullfill t low min of I2C spec UM10204 @1.8V.</t>
  </si>
  <si>
    <t>us</t>
  </si>
  <si>
    <t>Measure I2C to fullfill t high min of I2C spec UM10204 @3.3V.</t>
  </si>
  <si>
    <t>Measure I2C to fullfill t high min of I2C spec UM10204 @1.5V.</t>
  </si>
  <si>
    <t>Measure I2C to fullfill t high min of I2C spec UM10204 @1.8V.</t>
  </si>
  <si>
    <t>Measure I2C to fullfill t high min of I2C spec UM10204 @2.5V.</t>
  </si>
  <si>
    <t>Measure I2C to fullfill t rise max of I2C spec UM10204 @3.3V.</t>
  </si>
  <si>
    <t>Measure I2C to fullfill t rise max of I2C spec UM10204 @2.5V.</t>
  </si>
  <si>
    <t>Measure I2C to fullfill t rise max of I2C spec UM10204 @1.8V.</t>
  </si>
  <si>
    <t>Measure I2C to fullfill t rise max of I2C spec UM10204 @1.5V.</t>
  </si>
  <si>
    <r>
      <t xml:space="preserve">Must have 1k2 pullup externally to fullfill rise time. Since we have 10k on controller an 10k on device this equals 1k1 external pullup is required to fullfill these measurement for the controller or device individually. The t low min is just out of spec but functional test works without issues. This is risking the timing margin, if the capacitive load is getting close to the speced max (400pF) with for instance long cables this </t>
    </r>
    <r>
      <rPr>
        <b/>
        <sz val="11"/>
        <rFont val="Calibri"/>
        <family val="2"/>
        <scheme val="minor"/>
      </rPr>
      <t>could</t>
    </r>
    <r>
      <rPr>
        <sz val="11"/>
        <rFont val="Calibri"/>
        <family val="2"/>
        <scheme val="minor"/>
      </rPr>
      <t xml:space="preserve"> be an issue. But under normal conditions this small discripance should be of no issue.</t>
    </r>
  </si>
  <si>
    <t>UIO.244</t>
  </si>
  <si>
    <t>UIO.245</t>
  </si>
  <si>
    <t>UIO.246</t>
  </si>
  <si>
    <t>UIO.247</t>
  </si>
  <si>
    <t>UIO.248</t>
  </si>
  <si>
    <t>UIO.249</t>
  </si>
  <si>
    <t>UIO.250</t>
  </si>
  <si>
    <t>UIO.251</t>
  </si>
  <si>
    <t>UIO.252</t>
  </si>
  <si>
    <t>UIO.253</t>
  </si>
  <si>
    <t>UIO.254</t>
  </si>
  <si>
    <t>UIO.255</t>
  </si>
  <si>
    <t>UIO.256</t>
  </si>
  <si>
    <t>UIO.257</t>
  </si>
  <si>
    <t>UIO.258</t>
  </si>
  <si>
    <t>UIO.259</t>
  </si>
  <si>
    <t>UIO.260</t>
  </si>
  <si>
    <t>UIO.261</t>
  </si>
  <si>
    <t>UIO.262</t>
  </si>
  <si>
    <t>UIO.263</t>
  </si>
  <si>
    <t>Fail, see note</t>
  </si>
  <si>
    <t>I2C_4 (I2C26) goes over to IDC pins. Connect these pins to an I2C device. Set I2C_EN high. Try different voltage levels. Note that I2C_V_SEL should be low using VIO under 2.4V. Functional test.</t>
  </si>
  <si>
    <t>A002926 with Ntop A002766</t>
  </si>
  <si>
    <t>A002766 did not pass ATMega programming, instead A002767 is used</t>
  </si>
  <si>
    <t>A002766 did not pass, A002767 did</t>
  </si>
  <si>
    <t>Out of spec</t>
  </si>
  <si>
    <t>Gain 0,125 test: Add 35V over AIN_*_CH* and measure the voltage from ADC</t>
  </si>
  <si>
    <t>Gain Error</t>
  </si>
  <si>
    <t>Offset Error (mV)</t>
  </si>
  <si>
    <t>Range</t>
  </si>
  <si>
    <t>Calculation of Error</t>
  </si>
  <si>
    <t>The measurements are calibrated towards Siglent SDM3055</t>
  </si>
  <si>
    <t>Gain error (% of reading)</t>
  </si>
  <si>
    <t>Offset Error (%of range)</t>
  </si>
  <si>
    <t>Reading</t>
  </si>
  <si>
    <t>Gain Error (mV)</t>
  </si>
  <si>
    <t>Total Error (mV)</t>
  </si>
  <si>
    <t>Instrument error (mV)</t>
  </si>
  <si>
    <t>Min Measured</t>
  </si>
  <si>
    <t>Max Measured</t>
  </si>
  <si>
    <t>Min Error</t>
  </si>
  <si>
    <t>Worst Error</t>
  </si>
  <si>
    <t>Ok?</t>
  </si>
  <si>
    <t>Allowed Error</t>
  </si>
  <si>
    <t>Accuracy</t>
  </si>
  <si>
    <t>DUT</t>
  </si>
  <si>
    <t>Instrument</t>
  </si>
  <si>
    <t>Datasheet</t>
  </si>
  <si>
    <t>DUT DAC</t>
  </si>
  <si>
    <t>DUT ADC</t>
  </si>
  <si>
    <t>Datasheet ADC</t>
  </si>
  <si>
    <t>Datasheet DAC</t>
  </si>
  <si>
    <t xml:space="preserve">Accuracy </t>
  </si>
  <si>
    <t>@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</si>
</sst>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0.0000"/>
    <numFmt numFmtId="168" formatCode="0.000000"/>
  </numFmts>
  <fonts count="8" x14ac:knownFonts="1">
    <font>
      <sz val="11"/>
      <color theme="1"/>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8"/>
      <name val="Calibri"/>
      <family val="2"/>
      <scheme val="minor"/>
    </font>
    <font>
      <sz val="11"/>
      <color rgb="FF006100"/>
      <name val="Calibri"/>
      <family val="2"/>
      <scheme val="minor"/>
    </font>
    <font>
      <b/>
      <sz val="11"/>
      <name val="Calibri"/>
      <family val="2"/>
      <scheme val="minor"/>
    </font>
    <font>
      <b/>
      <sz val="14"/>
      <name val="Calibri"/>
      <family val="2"/>
      <scheme val="minor"/>
    </font>
  </fonts>
  <fills count="10">
    <fill>
      <patternFill patternType="none"/>
    </fill>
    <fill>
      <patternFill patternType="gray125"/>
    </fill>
    <fill>
      <patternFill patternType="solid">
        <fgColor theme="0" tint="-0.249977111117893"/>
        <bgColor indexed="64"/>
      </patternFill>
    </fill>
    <fill>
      <patternFill patternType="solid">
        <fgColor theme="1"/>
        <bgColor indexed="64"/>
      </patternFill>
    </fill>
    <fill>
      <patternFill patternType="solid">
        <fgColor theme="7" tint="0.79998168889431442"/>
        <bgColor indexed="64"/>
      </patternFill>
    </fill>
    <fill>
      <patternFill patternType="solid">
        <fgColor rgb="FFC6EFCE"/>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79998168889431442"/>
        <bgColor indexed="64"/>
      </patternFill>
    </fill>
  </fills>
  <borders count="1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5" fillId="5" borderId="0" applyNumberFormat="0" applyBorder="0" applyAlignment="0" applyProtection="0"/>
  </cellStyleXfs>
  <cellXfs count="92">
    <xf numFmtId="0" fontId="0" fillId="0" borderId="0" xfId="0"/>
    <xf numFmtId="0" fontId="0" fillId="0" borderId="2" xfId="0" applyBorder="1" applyAlignment="1">
      <alignment horizontal="center" vertical="center"/>
    </xf>
    <xf numFmtId="0" fontId="0" fillId="3" borderId="2" xfId="0" applyFill="1" applyBorder="1" applyAlignment="1">
      <alignment horizontal="center" vertical="center"/>
    </xf>
    <xf numFmtId="10" fontId="5" fillId="3" borderId="2" xfId="1" applyNumberFormat="1" applyFill="1" applyBorder="1" applyAlignment="1">
      <alignment horizontal="center" vertical="center"/>
    </xf>
    <xf numFmtId="164" fontId="0" fillId="0" borderId="2" xfId="0" applyNumberFormat="1" applyBorder="1" applyAlignment="1">
      <alignment horizontal="center" vertical="center"/>
    </xf>
    <xf numFmtId="165" fontId="0" fillId="0" borderId="2" xfId="0" applyNumberFormat="1" applyBorder="1" applyAlignment="1">
      <alignment horizontal="center" vertical="center"/>
    </xf>
    <xf numFmtId="164" fontId="0" fillId="3" borderId="2" xfId="0" applyNumberFormat="1" applyFill="1" applyBorder="1" applyAlignment="1">
      <alignment horizontal="center" vertical="center"/>
    </xf>
    <xf numFmtId="0" fontId="0" fillId="0" borderId="2" xfId="0" quotePrefix="1" applyBorder="1" applyAlignment="1">
      <alignment horizontal="left" vertical="top" wrapText="1"/>
    </xf>
    <xf numFmtId="0" fontId="0" fillId="0" borderId="2" xfId="0" applyBorder="1" applyAlignment="1">
      <alignment horizontal="left" vertical="top" wrapText="1"/>
    </xf>
    <xf numFmtId="0" fontId="0" fillId="0" borderId="0" xfId="0" applyAlignment="1">
      <alignment horizontal="left" vertical="top"/>
    </xf>
    <xf numFmtId="0" fontId="0" fillId="0" borderId="2" xfId="0" applyBorder="1" applyAlignment="1">
      <alignment horizontal="left" vertical="top"/>
    </xf>
    <xf numFmtId="0" fontId="0" fillId="3" borderId="2" xfId="0" applyFill="1" applyBorder="1" applyAlignment="1">
      <alignment horizontal="left" vertical="top"/>
    </xf>
    <xf numFmtId="0" fontId="2" fillId="0" borderId="2" xfId="0" applyFont="1" applyBorder="1" applyAlignment="1">
      <alignment horizontal="left" vertical="top" wrapText="1"/>
    </xf>
    <xf numFmtId="0" fontId="1" fillId="3" borderId="2" xfId="0" applyFont="1" applyFill="1" applyBorder="1" applyAlignment="1">
      <alignment horizontal="left" vertical="top"/>
    </xf>
    <xf numFmtId="0" fontId="0" fillId="3" borderId="2" xfId="0" applyFill="1" applyBorder="1" applyAlignment="1">
      <alignment horizontal="left" vertical="top" wrapText="1"/>
    </xf>
    <xf numFmtId="0" fontId="2" fillId="3" borderId="2" xfId="0" applyFont="1" applyFill="1" applyBorder="1" applyAlignment="1">
      <alignment horizontal="left" vertical="top" wrapText="1"/>
    </xf>
    <xf numFmtId="10" fontId="5" fillId="3" borderId="2" xfId="1" applyNumberFormat="1" applyFill="1" applyBorder="1" applyAlignment="1">
      <alignment horizontal="left" vertical="top"/>
    </xf>
    <xf numFmtId="0" fontId="2" fillId="8" borderId="2" xfId="0" applyFont="1" applyFill="1" applyBorder="1" applyAlignment="1">
      <alignment horizontal="left" vertical="top" wrapText="1"/>
    </xf>
    <xf numFmtId="0" fontId="0" fillId="0" borderId="1" xfId="0" applyBorder="1" applyAlignment="1">
      <alignment horizontal="left" vertical="top"/>
    </xf>
    <xf numFmtId="0" fontId="6" fillId="0" borderId="2" xfId="0" applyFont="1" applyBorder="1" applyAlignment="1">
      <alignment horizontal="center" vertical="top" wrapText="1"/>
    </xf>
    <xf numFmtId="0" fontId="0" fillId="0" borderId="0" xfId="0" applyAlignment="1">
      <alignment horizontal="center" vertical="top"/>
    </xf>
    <xf numFmtId="0" fontId="5" fillId="3" borderId="2" xfId="1" applyFill="1" applyBorder="1" applyAlignment="1">
      <alignment horizontal="center" vertical="top"/>
    </xf>
    <xf numFmtId="164" fontId="0" fillId="0" borderId="2" xfId="0" applyNumberFormat="1" applyBorder="1" applyAlignment="1">
      <alignment horizontal="center" vertical="top"/>
    </xf>
    <xf numFmtId="0" fontId="0" fillId="0" borderId="2" xfId="0" applyBorder="1" applyAlignment="1">
      <alignment horizontal="center" vertical="top"/>
    </xf>
    <xf numFmtId="164" fontId="0" fillId="3" borderId="2" xfId="0" applyNumberFormat="1" applyFill="1" applyBorder="1" applyAlignment="1">
      <alignment horizontal="center" vertical="top"/>
    </xf>
    <xf numFmtId="0" fontId="0" fillId="3" borderId="2" xfId="0" applyFill="1" applyBorder="1" applyAlignment="1">
      <alignment horizontal="center" vertical="top"/>
    </xf>
    <xf numFmtId="166" fontId="0" fillId="0" borderId="2" xfId="0" applyNumberFormat="1" applyBorder="1" applyAlignment="1">
      <alignment horizontal="center" vertical="top"/>
    </xf>
    <xf numFmtId="165" fontId="0" fillId="0" borderId="2" xfId="0" applyNumberFormat="1" applyBorder="1" applyAlignment="1">
      <alignment horizontal="center" vertical="top"/>
    </xf>
    <xf numFmtId="0" fontId="3" fillId="0" borderId="1" xfId="0" applyFont="1" applyBorder="1" applyAlignment="1">
      <alignment horizontal="center" vertical="top"/>
    </xf>
    <xf numFmtId="0" fontId="0" fillId="0" borderId="1" xfId="0" quotePrefix="1" applyBorder="1" applyAlignment="1">
      <alignment horizontal="left" vertical="top" wrapText="1"/>
    </xf>
    <xf numFmtId="0" fontId="0" fillId="0" borderId="1" xfId="0" applyBorder="1" applyAlignment="1">
      <alignment horizontal="left" vertical="top" wrapText="1"/>
    </xf>
    <xf numFmtId="164" fontId="0" fillId="0" borderId="1" xfId="0" applyNumberFormat="1" applyBorder="1" applyAlignment="1">
      <alignment horizontal="center" vertical="center"/>
    </xf>
    <xf numFmtId="0" fontId="0" fillId="3" borderId="1" xfId="0" applyFill="1" applyBorder="1" applyAlignment="1">
      <alignment horizontal="center" vertical="center"/>
    </xf>
    <xf numFmtId="165" fontId="0" fillId="0" borderId="1" xfId="0" applyNumberFormat="1" applyBorder="1" applyAlignment="1">
      <alignment horizontal="center" vertical="center"/>
    </xf>
    <xf numFmtId="164" fontId="3" fillId="0" borderId="1" xfId="0" applyNumberFormat="1" applyFont="1" applyBorder="1" applyAlignment="1">
      <alignment horizontal="center" vertical="top"/>
    </xf>
    <xf numFmtId="0" fontId="0" fillId="3" borderId="1" xfId="0" applyFill="1" applyBorder="1" applyAlignment="1">
      <alignment horizontal="left" vertical="top"/>
    </xf>
    <xf numFmtId="0" fontId="3" fillId="3" borderId="6" xfId="0" applyFont="1" applyFill="1" applyBorder="1" applyAlignment="1">
      <alignment horizontal="center" vertical="center"/>
    </xf>
    <xf numFmtId="0" fontId="3" fillId="3" borderId="6" xfId="0" applyFont="1" applyFill="1" applyBorder="1" applyAlignment="1">
      <alignment horizontal="center" vertical="top"/>
    </xf>
    <xf numFmtId="0" fontId="0" fillId="9" borderId="2" xfId="0" applyFill="1" applyBorder="1" applyAlignment="1">
      <alignment horizontal="center" vertical="center"/>
    </xf>
    <xf numFmtId="0" fontId="0" fillId="9" borderId="2" xfId="0" applyFill="1" applyBorder="1" applyAlignment="1">
      <alignment horizontal="center" vertical="center" wrapText="1"/>
    </xf>
    <xf numFmtId="0" fontId="0" fillId="3" borderId="8" xfId="0" applyFill="1" applyBorder="1" applyAlignment="1">
      <alignment horizontal="center" vertical="center" wrapText="1"/>
    </xf>
    <xf numFmtId="164" fontId="3" fillId="0" borderId="8" xfId="0" applyNumberFormat="1" applyFont="1" applyBorder="1" applyAlignment="1">
      <alignment horizontal="center" vertical="top" wrapText="1"/>
    </xf>
    <xf numFmtId="0" fontId="3" fillId="0" borderId="8" xfId="0" applyFont="1" applyBorder="1" applyAlignment="1">
      <alignment horizontal="center" vertical="top" wrapText="1"/>
    </xf>
    <xf numFmtId="0" fontId="0" fillId="3" borderId="8" xfId="0" applyFill="1" applyBorder="1" applyAlignment="1">
      <alignment horizontal="left" vertical="top" wrapText="1"/>
    </xf>
    <xf numFmtId="0" fontId="0" fillId="0" borderId="0" xfId="0" applyAlignment="1">
      <alignment horizontal="left" vertical="top" wrapText="1"/>
    </xf>
    <xf numFmtId="0" fontId="0" fillId="6" borderId="2" xfId="0" applyFill="1" applyBorder="1" applyAlignment="1">
      <alignment horizontal="center" vertical="center"/>
    </xf>
    <xf numFmtId="0" fontId="0" fillId="6" borderId="2" xfId="0" applyFill="1" applyBorder="1" applyAlignment="1">
      <alignment horizontal="center" vertical="center" wrapText="1"/>
    </xf>
    <xf numFmtId="0" fontId="0" fillId="6" borderId="2" xfId="0" quotePrefix="1" applyFill="1" applyBorder="1" applyAlignment="1">
      <alignment horizontal="center" vertical="center" wrapText="1"/>
    </xf>
    <xf numFmtId="0" fontId="0" fillId="0" borderId="2" xfId="0" applyBorder="1" applyAlignment="1">
      <alignment horizontal="center" vertical="top" wrapText="1"/>
    </xf>
    <xf numFmtId="0" fontId="2" fillId="8" borderId="1" xfId="0" applyFont="1" applyFill="1" applyBorder="1" applyAlignment="1">
      <alignment horizontal="center" vertical="top" wrapText="1"/>
    </xf>
    <xf numFmtId="0" fontId="6" fillId="8" borderId="2" xfId="0" applyFont="1" applyFill="1" applyBorder="1" applyAlignment="1">
      <alignment horizontal="left" vertical="top" wrapText="1"/>
    </xf>
    <xf numFmtId="10" fontId="0" fillId="0" borderId="0" xfId="0" applyNumberFormat="1"/>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2" fillId="8" borderId="3" xfId="0" applyFont="1" applyFill="1" applyBorder="1" applyAlignment="1">
      <alignment horizontal="center" vertical="top" wrapText="1"/>
    </xf>
    <xf numFmtId="0" fontId="2" fillId="8" borderId="4" xfId="0" applyFont="1" applyFill="1" applyBorder="1" applyAlignment="1">
      <alignment horizontal="center" vertical="top" wrapText="1"/>
    </xf>
    <xf numFmtId="0" fontId="2" fillId="8" borderId="1" xfId="0" applyFont="1" applyFill="1" applyBorder="1" applyAlignment="1">
      <alignment horizontal="center" vertical="top" wrapText="1"/>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1"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7" fillId="8" borderId="1" xfId="0" applyFont="1" applyFill="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164" fontId="3" fillId="0" borderId="6" xfId="0" applyNumberFormat="1" applyFont="1" applyBorder="1" applyAlignment="1">
      <alignment horizontal="center" vertical="center" wrapText="1"/>
    </xf>
    <xf numFmtId="164" fontId="3" fillId="0" borderId="8" xfId="0" applyNumberFormat="1" applyFont="1" applyBorder="1" applyAlignment="1">
      <alignment horizontal="center" vertical="center" wrapText="1"/>
    </xf>
    <xf numFmtId="164" fontId="3" fillId="0" borderId="6" xfId="0" applyNumberFormat="1" applyFont="1" applyBorder="1" applyAlignment="1">
      <alignment horizontal="center" vertical="center"/>
    </xf>
    <xf numFmtId="164" fontId="3" fillId="0" borderId="8" xfId="0" applyNumberFormat="1" applyFont="1" applyBorder="1" applyAlignment="1">
      <alignment horizontal="center" vertical="center"/>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7" fillId="6" borderId="3" xfId="0" applyFont="1" applyFill="1" applyBorder="1" applyAlignment="1">
      <alignment horizontal="center" vertical="center"/>
    </xf>
    <xf numFmtId="0" fontId="7" fillId="6" borderId="4"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4" xfId="0" applyFont="1" applyFill="1" applyBorder="1" applyAlignment="1">
      <alignment horizontal="center" vertical="center"/>
    </xf>
    <xf numFmtId="0" fontId="7" fillId="2" borderId="1" xfId="0" applyFont="1" applyFill="1" applyBorder="1" applyAlignment="1">
      <alignment horizontal="center" vertical="top"/>
    </xf>
    <xf numFmtId="0" fontId="7" fillId="2" borderId="2" xfId="0" applyFont="1" applyFill="1" applyBorder="1" applyAlignment="1">
      <alignment horizontal="center" vertical="top"/>
    </xf>
    <xf numFmtId="0" fontId="0" fillId="0" borderId="2" xfId="0" applyBorder="1"/>
    <xf numFmtId="0" fontId="3" fillId="0" borderId="2" xfId="0" applyFont="1" applyBorder="1"/>
    <xf numFmtId="0" fontId="3" fillId="0" borderId="2" xfId="0" applyFont="1" applyBorder="1" applyAlignment="1">
      <alignment horizontal="center"/>
    </xf>
    <xf numFmtId="0" fontId="3" fillId="0" borderId="0" xfId="0" applyFont="1" applyBorder="1" applyAlignment="1">
      <alignment horizontal="center"/>
    </xf>
    <xf numFmtId="168" fontId="0" fillId="0" borderId="2" xfId="0" applyNumberFormat="1" applyBorder="1"/>
    <xf numFmtId="164" fontId="0" fillId="0" borderId="2" xfId="0" applyNumberFormat="1" applyBorder="1"/>
    <xf numFmtId="10" fontId="0" fillId="0" borderId="2" xfId="0" applyNumberFormat="1" applyBorder="1"/>
    <xf numFmtId="165" fontId="0" fillId="8" borderId="2" xfId="0" applyNumberFormat="1" applyFill="1" applyBorder="1"/>
    <xf numFmtId="0" fontId="0" fillId="8" borderId="2" xfId="0" applyFill="1" applyBorder="1"/>
    <xf numFmtId="0" fontId="0" fillId="0" borderId="0" xfId="0" quotePrefix="1"/>
    <xf numFmtId="0" fontId="0" fillId="0" borderId="0" xfId="0" applyAlignment="1">
      <alignment horizontal="right"/>
    </xf>
    <xf numFmtId="0" fontId="0" fillId="0" borderId="0" xfId="0" applyAlignment="1">
      <alignment horizontal="left"/>
    </xf>
  </cellXfs>
  <cellStyles count="2">
    <cellStyle name="Good" xfId="1" builtinId="26"/>
    <cellStyle name="Normal" xfId="0" builtinId="0"/>
  </cellStyles>
  <dxfs count="1033">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ill>
        <patternFill>
          <fgColor rgb="FFFF0000"/>
          <bgColor rgb="FF00B050"/>
        </patternFill>
      </fill>
    </dxf>
    <dxf>
      <fill>
        <patternFill>
          <bgColor rgb="FFFF0000"/>
        </patternFill>
      </fill>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ill>
        <patternFill>
          <fgColor rgb="FFFF0000"/>
          <bgColor rgb="FF00B050"/>
        </patternFill>
      </fill>
    </dxf>
    <dxf>
      <fill>
        <patternFill>
          <bgColor rgb="FFFF0000"/>
        </patternFill>
      </fill>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ill>
        <patternFill>
          <fgColor rgb="FFFF0000"/>
          <bgColor rgb="FF00B050"/>
        </patternFill>
      </fill>
    </dxf>
    <dxf>
      <fill>
        <patternFill>
          <bgColor rgb="FFFF0000"/>
        </patternFill>
      </fill>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ill>
        <patternFill>
          <fgColor rgb="FFFF0000"/>
          <bgColor rgb="FF00B050"/>
        </patternFill>
      </fill>
    </dxf>
    <dxf>
      <fill>
        <patternFill>
          <bgColor rgb="FFFF0000"/>
        </patternFill>
      </fill>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theme="5" tint="0.79998168889431442"/>
        </patternFill>
      </fill>
      <border>
        <left style="thin">
          <color auto="1"/>
        </left>
        <right style="thin">
          <color auto="1"/>
        </right>
        <top style="thin">
          <color auto="1"/>
        </top>
        <bottom style="thin">
          <color auto="1"/>
        </bottom>
        <vertical/>
        <horizontal/>
      </border>
    </dxf>
    <dxf>
      <font>
        <color rgb="FF0070C0"/>
      </font>
      <fill>
        <patternFill>
          <bgColor theme="4" tint="0.79998168889431442"/>
        </patternFill>
      </fill>
      <border>
        <left style="thin">
          <color auto="1"/>
        </left>
        <right style="thin">
          <color auto="1"/>
        </right>
        <top style="thin">
          <color auto="1"/>
        </top>
        <bottom style="thin">
          <color auto="1"/>
        </bottom>
        <vertical/>
        <horizontal/>
      </border>
    </dxf>
    <dxf>
      <font>
        <color rgb="FF00B05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0" tint="-4.9989318521683403E-2"/>
        </patternFill>
      </fill>
      <border>
        <left style="thin">
          <color auto="1"/>
        </left>
        <right style="thin">
          <color auto="1"/>
        </right>
        <top style="thin">
          <color auto="1"/>
        </top>
        <bottom style="thin">
          <color auto="1"/>
        </bottom>
        <vertical/>
        <horizontal/>
      </border>
    </dxf>
    <dxf>
      <font>
        <color theme="1"/>
      </font>
      <fill>
        <patternFill>
          <bgColor rgb="FFFFFF00"/>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B732E-0445-4DBE-ACEC-D5A7599C523B}">
  <dimension ref="B1:AT364"/>
  <sheetViews>
    <sheetView tabSelected="1" topLeftCell="H1" zoomScale="115" zoomScaleNormal="115" workbookViewId="0">
      <pane ySplit="2" topLeftCell="A333" activePane="bottomLeft" state="frozen"/>
      <selection pane="bottomLeft" activeCell="P338" sqref="P338:AN338"/>
    </sheetView>
  </sheetViews>
  <sheetFormatPr defaultColWidth="9.21875" defaultRowHeight="14.4" x14ac:dyDescent="0.3"/>
  <cols>
    <col min="1" max="1" width="2.5546875" style="9" customWidth="1"/>
    <col min="2" max="2" width="8" style="10" bestFit="1" customWidth="1"/>
    <col min="3" max="3" width="51" style="10" bestFit="1" customWidth="1"/>
    <col min="4" max="5" width="23.88671875" style="10" bestFit="1" customWidth="1"/>
    <col min="6" max="6" width="42.44140625" style="8" customWidth="1"/>
    <col min="7" max="7" width="27.44140625" style="8" bestFit="1" customWidth="1"/>
    <col min="8" max="8" width="14.44140625" style="1" bestFit="1" customWidth="1"/>
    <col min="9" max="9" width="0.88671875" style="2" customWidth="1"/>
    <col min="10" max="10" width="8.44140625" style="4" customWidth="1"/>
    <col min="11" max="11" width="6.77734375" style="1" bestFit="1" customWidth="1"/>
    <col min="12" max="12" width="9" style="5" bestFit="1" customWidth="1"/>
    <col min="13" max="13" width="0.88671875" style="2" customWidth="1"/>
    <col min="14" max="15" width="10.21875" style="22" customWidth="1"/>
    <col min="16" max="16" width="9.77734375" style="22" customWidth="1"/>
    <col min="17" max="17" width="9.88671875" style="22" customWidth="1"/>
    <col min="18" max="18" width="9.44140625" style="22" customWidth="1"/>
    <col min="19" max="19" width="8.77734375" style="22" bestFit="1" customWidth="1"/>
    <col min="20" max="20" width="12.33203125" style="23" bestFit="1" customWidth="1"/>
    <col min="21" max="21" width="0.88671875" style="11" customWidth="1"/>
    <col min="22" max="22" width="9.21875" style="22" customWidth="1"/>
    <col min="23" max="24" width="9.88671875" style="22" customWidth="1"/>
    <col min="25" max="25" width="9.44140625" style="22" customWidth="1"/>
    <col min="26" max="26" width="9.5546875" style="22" customWidth="1"/>
    <col min="27" max="27" width="8.77734375" style="22" bestFit="1" customWidth="1"/>
    <col min="28" max="28" width="12.33203125" style="23" bestFit="1" customWidth="1"/>
    <col min="29" max="29" width="0.88671875" style="11" customWidth="1"/>
    <col min="30" max="30" width="9.21875" style="22" customWidth="1"/>
    <col min="31" max="32" width="9.88671875" style="22" customWidth="1"/>
    <col min="33" max="33" width="9.44140625" style="22" customWidth="1"/>
    <col min="34" max="34" width="9.5546875" style="22" customWidth="1"/>
    <col min="35" max="35" width="8.77734375" style="22" bestFit="1" customWidth="1"/>
    <col min="36" max="36" width="12.33203125" style="23" bestFit="1" customWidth="1"/>
    <col min="37" max="37" width="0.88671875" style="11" customWidth="1"/>
    <col min="38" max="38" width="9.21875" style="22" customWidth="1"/>
    <col min="39" max="40" width="9.88671875" style="22" customWidth="1"/>
    <col min="41" max="41" width="9.44140625" style="22" customWidth="1"/>
    <col min="42" max="42" width="9.5546875" style="22" customWidth="1"/>
    <col min="43" max="43" width="8.77734375" style="22" bestFit="1" customWidth="1"/>
    <col min="44" max="44" width="12.33203125" style="23" bestFit="1" customWidth="1"/>
    <col min="45" max="45" width="0.88671875" style="11" customWidth="1"/>
    <col min="46" max="46" width="65.5546875" style="12" customWidth="1"/>
    <col min="47" max="16384" width="9.21875" style="9"/>
  </cols>
  <sheetData>
    <row r="1" spans="2:46" s="20" customFormat="1" x14ac:dyDescent="0.3">
      <c r="B1" s="66" t="s">
        <v>1</v>
      </c>
      <c r="C1" s="72" t="s">
        <v>2</v>
      </c>
      <c r="D1" s="52" t="s">
        <v>3</v>
      </c>
      <c r="E1" s="52" t="s">
        <v>4</v>
      </c>
      <c r="F1" s="52" t="s">
        <v>5</v>
      </c>
      <c r="G1" s="52" t="s">
        <v>6</v>
      </c>
      <c r="H1" s="72" t="s">
        <v>23</v>
      </c>
      <c r="I1" s="36"/>
      <c r="J1" s="68" t="s">
        <v>24</v>
      </c>
      <c r="K1" s="70" t="s">
        <v>170</v>
      </c>
      <c r="L1" s="72" t="s">
        <v>25</v>
      </c>
      <c r="M1" s="36"/>
      <c r="N1" s="54" t="s">
        <v>217</v>
      </c>
      <c r="O1" s="55"/>
      <c r="P1" s="55"/>
      <c r="Q1" s="55"/>
      <c r="R1" s="55"/>
      <c r="S1" s="55"/>
      <c r="T1" s="56"/>
      <c r="U1" s="37"/>
      <c r="V1" s="54" t="s">
        <v>542</v>
      </c>
      <c r="W1" s="55"/>
      <c r="X1" s="55"/>
      <c r="Y1" s="55"/>
      <c r="Z1" s="55"/>
      <c r="AA1" s="55"/>
      <c r="AB1" s="56"/>
      <c r="AC1" s="37"/>
      <c r="AD1" s="54" t="s">
        <v>682</v>
      </c>
      <c r="AE1" s="55"/>
      <c r="AF1" s="55"/>
      <c r="AG1" s="55"/>
      <c r="AH1" s="55"/>
      <c r="AI1" s="55"/>
      <c r="AJ1" s="56"/>
      <c r="AK1" s="37"/>
      <c r="AL1" s="54" t="s">
        <v>682</v>
      </c>
      <c r="AM1" s="55"/>
      <c r="AN1" s="55"/>
      <c r="AO1" s="55"/>
      <c r="AP1" s="55"/>
      <c r="AQ1" s="55"/>
      <c r="AR1" s="56"/>
      <c r="AS1" s="37"/>
      <c r="AT1" s="19"/>
    </row>
    <row r="2" spans="2:46" s="44" customFormat="1" ht="28.8" customHeight="1" thickBot="1" x14ac:dyDescent="0.35">
      <c r="B2" s="67"/>
      <c r="C2" s="73"/>
      <c r="D2" s="53"/>
      <c r="E2" s="53"/>
      <c r="F2" s="53"/>
      <c r="G2" s="53"/>
      <c r="H2" s="73"/>
      <c r="I2" s="40"/>
      <c r="J2" s="69"/>
      <c r="K2" s="71"/>
      <c r="L2" s="73"/>
      <c r="M2" s="40"/>
      <c r="N2" s="41" t="s">
        <v>186</v>
      </c>
      <c r="O2" s="41" t="s">
        <v>222</v>
      </c>
      <c r="P2" s="41" t="s">
        <v>221</v>
      </c>
      <c r="Q2" s="41" t="s">
        <v>224</v>
      </c>
      <c r="R2" s="41" t="s">
        <v>223</v>
      </c>
      <c r="S2" s="42" t="s">
        <v>23</v>
      </c>
      <c r="T2" s="42" t="s">
        <v>0</v>
      </c>
      <c r="U2" s="43"/>
      <c r="V2" s="41" t="s">
        <v>186</v>
      </c>
      <c r="W2" s="41" t="s">
        <v>222</v>
      </c>
      <c r="X2" s="41" t="s">
        <v>221</v>
      </c>
      <c r="Y2" s="41" t="s">
        <v>224</v>
      </c>
      <c r="Z2" s="41" t="s">
        <v>223</v>
      </c>
      <c r="AA2" s="42" t="s">
        <v>23</v>
      </c>
      <c r="AB2" s="42" t="s">
        <v>0</v>
      </c>
      <c r="AC2" s="43"/>
      <c r="AD2" s="41" t="s">
        <v>186</v>
      </c>
      <c r="AE2" s="41" t="s">
        <v>222</v>
      </c>
      <c r="AF2" s="41" t="s">
        <v>221</v>
      </c>
      <c r="AG2" s="41" t="s">
        <v>224</v>
      </c>
      <c r="AH2" s="41" t="s">
        <v>223</v>
      </c>
      <c r="AI2" s="42" t="s">
        <v>23</v>
      </c>
      <c r="AJ2" s="42" t="s">
        <v>0</v>
      </c>
      <c r="AK2" s="43"/>
      <c r="AL2" s="41" t="s">
        <v>186</v>
      </c>
      <c r="AM2" s="41" t="s">
        <v>222</v>
      </c>
      <c r="AN2" s="41" t="s">
        <v>221</v>
      </c>
      <c r="AO2" s="41" t="s">
        <v>224</v>
      </c>
      <c r="AP2" s="41" t="s">
        <v>223</v>
      </c>
      <c r="AQ2" s="42" t="s">
        <v>23</v>
      </c>
      <c r="AR2" s="42" t="s">
        <v>0</v>
      </c>
      <c r="AS2" s="43"/>
      <c r="AT2" s="50" t="s">
        <v>683</v>
      </c>
    </row>
    <row r="3" spans="2:46" ht="14.55" customHeight="1" x14ac:dyDescent="0.3">
      <c r="B3" s="18" t="s">
        <v>58</v>
      </c>
      <c r="C3" s="78" t="s">
        <v>19</v>
      </c>
      <c r="D3" s="29" t="s">
        <v>167</v>
      </c>
      <c r="E3" s="30" t="s">
        <v>167</v>
      </c>
      <c r="F3" s="30" t="s">
        <v>168</v>
      </c>
      <c r="G3" s="30" t="s">
        <v>20</v>
      </c>
      <c r="H3" s="38" t="s">
        <v>26</v>
      </c>
      <c r="I3" s="32"/>
      <c r="J3" s="31"/>
      <c r="K3" s="33"/>
      <c r="L3" s="33"/>
      <c r="M3" s="32"/>
      <c r="N3" s="34"/>
      <c r="O3" s="34"/>
      <c r="P3" s="34"/>
      <c r="Q3" s="34"/>
      <c r="R3" s="34"/>
      <c r="S3" s="38" t="s">
        <v>26</v>
      </c>
      <c r="T3" s="28"/>
      <c r="U3" s="35"/>
      <c r="V3" s="34"/>
      <c r="W3" s="34"/>
      <c r="X3" s="34"/>
      <c r="Y3" s="34"/>
      <c r="Z3" s="34"/>
      <c r="AA3" s="38" t="s">
        <v>26</v>
      </c>
      <c r="AB3" s="28"/>
      <c r="AC3" s="35"/>
      <c r="AD3" s="34"/>
      <c r="AE3" s="34"/>
      <c r="AF3" s="34"/>
      <c r="AG3" s="34"/>
      <c r="AH3" s="34"/>
      <c r="AI3" s="38" t="s">
        <v>26</v>
      </c>
      <c r="AJ3" s="28"/>
      <c r="AK3" s="35"/>
      <c r="AL3" s="34"/>
      <c r="AM3" s="34"/>
      <c r="AN3" s="34"/>
      <c r="AO3" s="34"/>
      <c r="AP3" s="34"/>
      <c r="AQ3" s="38" t="s">
        <v>26</v>
      </c>
      <c r="AR3" s="28"/>
      <c r="AS3" s="35"/>
    </row>
    <row r="4" spans="2:46" ht="14.55" customHeight="1" x14ac:dyDescent="0.3">
      <c r="B4" s="10" t="s">
        <v>59</v>
      </c>
      <c r="C4" s="79"/>
      <c r="D4" s="7" t="s">
        <v>61</v>
      </c>
      <c r="E4" s="8" t="s">
        <v>21</v>
      </c>
      <c r="F4" s="8" t="s">
        <v>60</v>
      </c>
      <c r="G4" s="8" t="s">
        <v>20</v>
      </c>
      <c r="H4" s="38" t="s">
        <v>26</v>
      </c>
      <c r="K4" s="5"/>
      <c r="S4" s="38" t="s">
        <v>26</v>
      </c>
      <c r="AA4" s="38" t="s">
        <v>26</v>
      </c>
      <c r="AI4" s="38" t="s">
        <v>26</v>
      </c>
      <c r="AQ4" s="38" t="s">
        <v>26</v>
      </c>
    </row>
    <row r="5" spans="2:46" ht="14.55" customHeight="1" x14ac:dyDescent="0.3">
      <c r="B5" s="10" t="s">
        <v>126</v>
      </c>
      <c r="C5" s="79"/>
      <c r="D5" s="7" t="s">
        <v>61</v>
      </c>
      <c r="E5" s="8" t="s">
        <v>124</v>
      </c>
      <c r="F5" s="8" t="s">
        <v>127</v>
      </c>
      <c r="G5" s="8" t="s">
        <v>20</v>
      </c>
      <c r="H5" s="38" t="s">
        <v>26</v>
      </c>
      <c r="K5" s="5"/>
      <c r="S5" s="38" t="s">
        <v>26</v>
      </c>
      <c r="AA5" s="38" t="s">
        <v>26</v>
      </c>
      <c r="AI5" s="38" t="s">
        <v>26</v>
      </c>
      <c r="AQ5" s="38" t="s">
        <v>26</v>
      </c>
    </row>
    <row r="6" spans="2:46" ht="14.55" customHeight="1" x14ac:dyDescent="0.3">
      <c r="B6" s="10" t="s">
        <v>166</v>
      </c>
      <c r="C6" s="79"/>
      <c r="D6" s="7" t="s">
        <v>61</v>
      </c>
      <c r="E6" s="8" t="s">
        <v>125</v>
      </c>
      <c r="F6" s="8" t="s">
        <v>128</v>
      </c>
      <c r="G6" s="8" t="s">
        <v>20</v>
      </c>
      <c r="H6" s="38" t="s">
        <v>26</v>
      </c>
      <c r="K6" s="5"/>
      <c r="S6" s="38" t="s">
        <v>26</v>
      </c>
      <c r="AA6" s="38" t="s">
        <v>26</v>
      </c>
      <c r="AI6" s="38" t="s">
        <v>26</v>
      </c>
      <c r="AQ6" s="38" t="s">
        <v>26</v>
      </c>
    </row>
    <row r="7" spans="2:46" ht="12" customHeight="1" x14ac:dyDescent="0.3">
      <c r="B7" s="11"/>
      <c r="C7" s="13"/>
      <c r="D7" s="14"/>
      <c r="E7" s="11"/>
      <c r="F7" s="14"/>
      <c r="G7" s="14"/>
      <c r="H7" s="2"/>
      <c r="J7" s="6"/>
      <c r="K7" s="2"/>
      <c r="L7" s="2"/>
      <c r="N7" s="24"/>
      <c r="O7" s="24"/>
      <c r="P7" s="24"/>
      <c r="Q7" s="24"/>
      <c r="R7" s="24"/>
      <c r="S7" s="24"/>
      <c r="T7" s="25"/>
      <c r="V7" s="24"/>
      <c r="W7" s="24"/>
      <c r="X7" s="24"/>
      <c r="Y7" s="24"/>
      <c r="Z7" s="24"/>
      <c r="AA7" s="24"/>
      <c r="AB7" s="25"/>
      <c r="AD7" s="24"/>
      <c r="AE7" s="24"/>
      <c r="AF7" s="24"/>
      <c r="AG7" s="24"/>
      <c r="AH7" s="24"/>
      <c r="AI7" s="24"/>
      <c r="AJ7" s="25"/>
      <c r="AL7" s="24"/>
      <c r="AM7" s="24"/>
      <c r="AN7" s="24"/>
      <c r="AO7" s="24"/>
      <c r="AP7" s="24"/>
      <c r="AQ7" s="24"/>
      <c r="AR7" s="25"/>
      <c r="AT7" s="15"/>
    </row>
    <row r="8" spans="2:46" x14ac:dyDescent="0.3">
      <c r="B8" s="10" t="s">
        <v>7</v>
      </c>
      <c r="C8" s="74" t="s">
        <v>9</v>
      </c>
      <c r="D8" s="8" t="s">
        <v>69</v>
      </c>
      <c r="E8" s="8" t="s">
        <v>94</v>
      </c>
      <c r="F8" s="8" t="s">
        <v>95</v>
      </c>
      <c r="G8" s="8" t="s">
        <v>69</v>
      </c>
      <c r="H8" s="38" t="s">
        <v>26</v>
      </c>
      <c r="I8" s="3"/>
      <c r="J8" s="4">
        <v>20</v>
      </c>
      <c r="K8" s="4" t="s">
        <v>169</v>
      </c>
      <c r="L8" s="5">
        <v>0.05</v>
      </c>
      <c r="M8" s="3"/>
      <c r="N8" s="22">
        <v>20.05</v>
      </c>
      <c r="Q8" s="27">
        <f>(N8-$J8)/$J8</f>
        <v>2.5000000000000356E-3</v>
      </c>
      <c r="R8" s="27"/>
      <c r="S8" s="38" t="s">
        <v>26</v>
      </c>
      <c r="U8" s="16"/>
      <c r="V8" s="22">
        <v>20.02</v>
      </c>
      <c r="Y8" s="27">
        <f>(V8-$J8)/$J8</f>
        <v>9.9999999999997877E-4</v>
      </c>
      <c r="Z8" s="27"/>
      <c r="AA8" s="39" t="s">
        <v>26</v>
      </c>
      <c r="AC8" s="16"/>
      <c r="AD8" s="22">
        <v>20.02</v>
      </c>
      <c r="AG8" s="27">
        <f>(AD8-$J8)/$J8</f>
        <v>9.9999999999997877E-4</v>
      </c>
      <c r="AH8" s="27"/>
      <c r="AI8" s="39" t="s">
        <v>26</v>
      </c>
      <c r="AK8" s="16"/>
      <c r="AL8" s="22">
        <v>20.02</v>
      </c>
      <c r="AO8" s="27">
        <f>(AL8-$J8)/$J8</f>
        <v>9.9999999999997877E-4</v>
      </c>
      <c r="AP8" s="27"/>
      <c r="AQ8" s="39" t="s">
        <v>26</v>
      </c>
      <c r="AS8" s="16"/>
    </row>
    <row r="9" spans="2:46" x14ac:dyDescent="0.3">
      <c r="B9" s="10" t="s">
        <v>8</v>
      </c>
      <c r="C9" s="75"/>
      <c r="D9" s="8" t="s">
        <v>11</v>
      </c>
      <c r="E9" s="8" t="s">
        <v>250</v>
      </c>
      <c r="F9" s="8" t="s">
        <v>171</v>
      </c>
      <c r="G9" s="8" t="s">
        <v>11</v>
      </c>
      <c r="H9" s="38" t="s">
        <v>26</v>
      </c>
      <c r="I9" s="3"/>
      <c r="J9" s="4">
        <v>12</v>
      </c>
      <c r="K9" s="4" t="s">
        <v>169</v>
      </c>
      <c r="L9" s="5">
        <v>0.05</v>
      </c>
      <c r="M9" s="3"/>
      <c r="N9" s="22">
        <v>12</v>
      </c>
      <c r="Q9" s="27">
        <f t="shared" ref="Q9:Q68" si="0">(N9-$J9)/$J9</f>
        <v>0</v>
      </c>
      <c r="R9" s="27"/>
      <c r="S9" s="38" t="s">
        <v>26</v>
      </c>
      <c r="U9" s="16"/>
      <c r="V9" s="22">
        <v>11.885</v>
      </c>
      <c r="Y9" s="27">
        <f t="shared" ref="Y9:Y10" si="1">(V9-$J9)/$J9</f>
        <v>-9.5833333333333517E-3</v>
      </c>
      <c r="Z9" s="27"/>
      <c r="AA9" s="38" t="s">
        <v>26</v>
      </c>
      <c r="AC9" s="16"/>
      <c r="AD9" s="22">
        <v>11.912000000000001</v>
      </c>
      <c r="AG9" s="27">
        <f t="shared" ref="AG9:AG10" si="2">(AD9-$J9)/$J9</f>
        <v>-7.3333333333332655E-3</v>
      </c>
      <c r="AH9" s="27"/>
      <c r="AI9" s="38" t="s">
        <v>26</v>
      </c>
      <c r="AK9" s="16"/>
      <c r="AL9" s="22">
        <v>11.912000000000001</v>
      </c>
      <c r="AO9" s="27">
        <f t="shared" ref="AO9:AO10" si="3">(AL9-$J9)/$J9</f>
        <v>-7.3333333333332655E-3</v>
      </c>
      <c r="AP9" s="27"/>
      <c r="AQ9" s="38" t="s">
        <v>26</v>
      </c>
      <c r="AS9" s="16"/>
    </row>
    <row r="10" spans="2:46" ht="28.8" x14ac:dyDescent="0.3">
      <c r="B10" s="10" t="s">
        <v>30</v>
      </c>
      <c r="C10" s="75"/>
      <c r="D10" s="8" t="s">
        <v>11</v>
      </c>
      <c r="E10" s="8" t="s">
        <v>276</v>
      </c>
      <c r="F10" s="8" t="s">
        <v>172</v>
      </c>
      <c r="G10" s="8" t="s">
        <v>173</v>
      </c>
      <c r="H10" s="38" t="s">
        <v>26</v>
      </c>
      <c r="J10" s="4">
        <v>12</v>
      </c>
      <c r="K10" s="4" t="s">
        <v>169</v>
      </c>
      <c r="L10" s="5">
        <v>0.05</v>
      </c>
      <c r="N10" s="22">
        <v>11.986000000000001</v>
      </c>
      <c r="Q10" s="27">
        <f t="shared" si="0"/>
        <v>-1.1666666666666121E-3</v>
      </c>
      <c r="R10" s="27"/>
      <c r="S10" s="38" t="s">
        <v>26</v>
      </c>
      <c r="V10" s="22">
        <v>11.949</v>
      </c>
      <c r="Y10" s="27">
        <f t="shared" si="1"/>
        <v>-4.2500000000000133E-3</v>
      </c>
      <c r="Z10" s="27"/>
      <c r="AA10" s="38" t="s">
        <v>26</v>
      </c>
      <c r="AD10" s="22">
        <v>11.919</v>
      </c>
      <c r="AG10" s="27">
        <f t="shared" si="2"/>
        <v>-6.74999999999996E-3</v>
      </c>
      <c r="AH10" s="27"/>
      <c r="AI10" s="38" t="s">
        <v>26</v>
      </c>
      <c r="AL10" s="22">
        <v>11.919</v>
      </c>
      <c r="AO10" s="27">
        <f t="shared" si="3"/>
        <v>-6.74999999999996E-3</v>
      </c>
      <c r="AP10" s="27"/>
      <c r="AQ10" s="38" t="s">
        <v>26</v>
      </c>
    </row>
    <row r="11" spans="2:46" ht="28.8" x14ac:dyDescent="0.3">
      <c r="B11" s="10" t="s">
        <v>31</v>
      </c>
      <c r="C11" s="75"/>
      <c r="D11" s="8" t="s">
        <v>11</v>
      </c>
      <c r="E11" s="8" t="s">
        <v>251</v>
      </c>
      <c r="F11" s="8" t="s">
        <v>252</v>
      </c>
      <c r="G11" s="10"/>
      <c r="H11" s="38" t="s">
        <v>26</v>
      </c>
      <c r="K11" s="4"/>
      <c r="Q11" s="27"/>
      <c r="R11" s="27"/>
      <c r="S11" s="38" t="s">
        <v>26</v>
      </c>
      <c r="Y11" s="27"/>
      <c r="Z11" s="27"/>
      <c r="AA11" s="38" t="s">
        <v>26</v>
      </c>
      <c r="AG11" s="27"/>
      <c r="AH11" s="27"/>
      <c r="AI11" s="38" t="s">
        <v>26</v>
      </c>
      <c r="AO11" s="27"/>
      <c r="AP11" s="27"/>
      <c r="AQ11" s="38" t="s">
        <v>26</v>
      </c>
      <c r="AT11" s="17" t="s">
        <v>257</v>
      </c>
    </row>
    <row r="12" spans="2:46" ht="28.8" x14ac:dyDescent="0.3">
      <c r="B12" s="10" t="s">
        <v>32</v>
      </c>
      <c r="C12" s="75"/>
      <c r="D12" s="8" t="s">
        <v>11</v>
      </c>
      <c r="E12" s="8" t="s">
        <v>64</v>
      </c>
      <c r="F12" s="8" t="s">
        <v>183</v>
      </c>
      <c r="G12" s="10" t="s">
        <v>182</v>
      </c>
      <c r="H12" s="38" t="s">
        <v>26</v>
      </c>
      <c r="J12" s="4" t="s">
        <v>187</v>
      </c>
      <c r="K12" s="4" t="s">
        <v>169</v>
      </c>
      <c r="L12" s="5">
        <v>2.4E-2</v>
      </c>
      <c r="N12" s="22">
        <v>11.986000000000001</v>
      </c>
      <c r="O12" s="22">
        <v>11.955</v>
      </c>
      <c r="Q12" s="27">
        <f>(O12-$N12)/$N12</f>
        <v>-2.5863507425330037E-3</v>
      </c>
      <c r="R12" s="27"/>
      <c r="S12" s="38" t="s">
        <v>26</v>
      </c>
      <c r="V12" s="22">
        <v>11.952999999999999</v>
      </c>
      <c r="W12" s="22">
        <v>11.97</v>
      </c>
      <c r="Y12" s="27">
        <f>(W12-$V12)/$V12</f>
        <v>1.4222370952899888E-3</v>
      </c>
      <c r="Z12" s="27"/>
      <c r="AA12" s="38" t="s">
        <v>26</v>
      </c>
      <c r="AD12" s="22">
        <v>11.919</v>
      </c>
      <c r="AE12" s="22">
        <v>11.888</v>
      </c>
      <c r="AG12" s="27">
        <f>(AE12-$V12)/$V12</f>
        <v>-5.4379653643436381E-3</v>
      </c>
      <c r="AH12" s="27"/>
      <c r="AI12" s="38" t="s">
        <v>26</v>
      </c>
      <c r="AL12" s="22">
        <v>11.919</v>
      </c>
      <c r="AM12" s="22">
        <v>11.888</v>
      </c>
      <c r="AO12" s="27">
        <f>(AM12-$V12)/$V12</f>
        <v>-5.4379653643436381E-3</v>
      </c>
      <c r="AP12" s="27"/>
      <c r="AQ12" s="38" t="s">
        <v>26</v>
      </c>
    </row>
    <row r="13" spans="2:46" ht="28.8" x14ac:dyDescent="0.3">
      <c r="B13" s="10" t="s">
        <v>33</v>
      </c>
      <c r="C13" s="75"/>
      <c r="D13" s="8" t="s">
        <v>11</v>
      </c>
      <c r="E13" s="8" t="s">
        <v>276</v>
      </c>
      <c r="F13" s="8" t="s">
        <v>228</v>
      </c>
      <c r="G13" s="8" t="s">
        <v>173</v>
      </c>
      <c r="H13" s="38" t="s">
        <v>26</v>
      </c>
      <c r="J13" s="4">
        <v>500</v>
      </c>
      <c r="K13" s="1" t="s">
        <v>181</v>
      </c>
      <c r="L13" s="5">
        <v>0.05</v>
      </c>
      <c r="N13" s="22">
        <v>488</v>
      </c>
      <c r="Q13" s="27">
        <f t="shared" ref="Q13" si="4">(N13-$J13)/$J13</f>
        <v>-2.4E-2</v>
      </c>
      <c r="R13" s="27"/>
      <c r="S13" s="38" t="s">
        <v>26</v>
      </c>
      <c r="V13" s="22">
        <v>504</v>
      </c>
      <c r="Y13" s="27">
        <f t="shared" ref="Y13" si="5">(V13-$J13)/$J13</f>
        <v>8.0000000000000002E-3</v>
      </c>
      <c r="Z13" s="27"/>
      <c r="AA13" s="38" t="s">
        <v>26</v>
      </c>
      <c r="AD13" s="22">
        <v>503</v>
      </c>
      <c r="AG13" s="27">
        <f t="shared" ref="AG13" si="6">(AD13-$J13)/$J13</f>
        <v>6.0000000000000001E-3</v>
      </c>
      <c r="AH13" s="27"/>
      <c r="AI13" s="38" t="s">
        <v>26</v>
      </c>
      <c r="AL13" s="22">
        <v>503</v>
      </c>
      <c r="AO13" s="27">
        <f t="shared" ref="AO13" si="7">(AL13-$J13)/$J13</f>
        <v>6.0000000000000001E-3</v>
      </c>
      <c r="AP13" s="27"/>
      <c r="AQ13" s="38" t="s">
        <v>26</v>
      </c>
    </row>
    <row r="14" spans="2:46" x14ac:dyDescent="0.3">
      <c r="B14" s="10" t="s">
        <v>34</v>
      </c>
      <c r="C14" s="75"/>
      <c r="D14" s="8" t="s">
        <v>11</v>
      </c>
      <c r="E14" s="8" t="s">
        <v>276</v>
      </c>
      <c r="F14" s="8" t="s">
        <v>229</v>
      </c>
      <c r="G14" s="8" t="s">
        <v>173</v>
      </c>
      <c r="H14" s="38" t="s">
        <v>26</v>
      </c>
      <c r="J14" s="4" t="s">
        <v>226</v>
      </c>
      <c r="K14" s="1" t="s">
        <v>181</v>
      </c>
      <c r="N14" s="22">
        <v>240</v>
      </c>
      <c r="R14" s="27"/>
      <c r="S14" s="38" t="s">
        <v>26</v>
      </c>
      <c r="V14" s="22">
        <v>280</v>
      </c>
      <c r="Z14" s="27"/>
      <c r="AA14" s="38" t="s">
        <v>26</v>
      </c>
      <c r="AD14" s="22">
        <v>320</v>
      </c>
      <c r="AH14" s="27"/>
      <c r="AI14" s="38" t="s">
        <v>26</v>
      </c>
      <c r="AL14" s="22">
        <v>320</v>
      </c>
      <c r="AP14" s="27"/>
      <c r="AQ14" s="38" t="s">
        <v>26</v>
      </c>
    </row>
    <row r="15" spans="2:46" ht="43.2" x14ac:dyDescent="0.3">
      <c r="B15" s="10" t="s">
        <v>35</v>
      </c>
      <c r="C15" s="75"/>
      <c r="D15" s="8" t="s">
        <v>11</v>
      </c>
      <c r="E15" s="8" t="s">
        <v>64</v>
      </c>
      <c r="F15" s="8" t="s">
        <v>258</v>
      </c>
      <c r="G15" s="10" t="s">
        <v>193</v>
      </c>
      <c r="H15" s="38" t="s">
        <v>26</v>
      </c>
      <c r="J15" s="4" t="s">
        <v>187</v>
      </c>
      <c r="K15" s="4" t="s">
        <v>181</v>
      </c>
      <c r="L15" s="5">
        <v>0.1</v>
      </c>
      <c r="N15" s="22">
        <v>300</v>
      </c>
      <c r="P15" s="22">
        <v>300</v>
      </c>
      <c r="Q15" s="27"/>
      <c r="R15" s="27">
        <f>(P15-$V15)/$V15</f>
        <v>0</v>
      </c>
      <c r="S15" s="38" t="s">
        <v>26</v>
      </c>
      <c r="V15" s="22">
        <v>300</v>
      </c>
      <c r="X15" s="22">
        <v>302</v>
      </c>
      <c r="Y15" s="27"/>
      <c r="Z15" s="27">
        <f>(X15-$V15)/$V15</f>
        <v>6.6666666666666671E-3</v>
      </c>
      <c r="AA15" s="38" t="s">
        <v>26</v>
      </c>
      <c r="AD15" s="22">
        <v>300</v>
      </c>
      <c r="AF15" s="22">
        <v>303</v>
      </c>
      <c r="AG15" s="27"/>
      <c r="AH15" s="27">
        <f>(AF15-$V15)/$V15</f>
        <v>0.01</v>
      </c>
      <c r="AI15" s="38" t="s">
        <v>26</v>
      </c>
      <c r="AL15" s="22">
        <v>300</v>
      </c>
      <c r="AN15" s="22">
        <v>303</v>
      </c>
      <c r="AO15" s="27"/>
      <c r="AP15" s="27">
        <f>(AN15-$V15)/$V15</f>
        <v>0.01</v>
      </c>
      <c r="AQ15" s="38" t="s">
        <v>26</v>
      </c>
      <c r="AT15" s="12" t="s">
        <v>249</v>
      </c>
    </row>
    <row r="16" spans="2:46" x14ac:dyDescent="0.3">
      <c r="B16" s="10" t="s">
        <v>36</v>
      </c>
      <c r="C16" s="75"/>
      <c r="D16" s="8" t="s">
        <v>254</v>
      </c>
      <c r="E16" s="8" t="s">
        <v>253</v>
      </c>
      <c r="F16" s="8" t="s">
        <v>141</v>
      </c>
      <c r="G16" s="8" t="s">
        <v>96</v>
      </c>
      <c r="H16" s="38" t="s">
        <v>26</v>
      </c>
      <c r="J16" s="4">
        <v>6.5</v>
      </c>
      <c r="K16" s="4" t="s">
        <v>169</v>
      </c>
      <c r="L16" s="5">
        <v>2.5000000000000001E-2</v>
      </c>
      <c r="N16" s="22">
        <v>6.5250000000000004</v>
      </c>
      <c r="Q16" s="27">
        <f t="shared" si="0"/>
        <v>3.846153846153901E-3</v>
      </c>
      <c r="R16" s="27"/>
      <c r="S16" s="38" t="s">
        <v>26</v>
      </c>
      <c r="V16" s="22">
        <v>6.5250000000000004</v>
      </c>
      <c r="Y16" s="27">
        <f t="shared" ref="Y16:Y23" si="8">(V16-$J16)/$J16</f>
        <v>3.846153846153901E-3</v>
      </c>
      <c r="Z16" s="27"/>
      <c r="AA16" s="38" t="s">
        <v>26</v>
      </c>
      <c r="AD16" s="22">
        <v>6.5250000000000004</v>
      </c>
      <c r="AG16" s="27">
        <f t="shared" ref="AG16:AG23" si="9">(AD16-$J16)/$J16</f>
        <v>3.846153846153901E-3</v>
      </c>
      <c r="AH16" s="27"/>
      <c r="AI16" s="38" t="s">
        <v>26</v>
      </c>
      <c r="AL16" s="22">
        <v>6.5250000000000004</v>
      </c>
      <c r="AO16" s="27">
        <f t="shared" ref="AO16:AO23" si="10">(AL16-$J16)/$J16</f>
        <v>3.846153846153901E-3</v>
      </c>
      <c r="AP16" s="27"/>
      <c r="AQ16" s="38" t="s">
        <v>26</v>
      </c>
    </row>
    <row r="17" spans="2:46" ht="28.8" x14ac:dyDescent="0.3">
      <c r="B17" s="10" t="s">
        <v>37</v>
      </c>
      <c r="C17" s="75"/>
      <c r="D17" s="8" t="s">
        <v>254</v>
      </c>
      <c r="E17" s="8" t="s">
        <v>275</v>
      </c>
      <c r="F17" s="8" t="s">
        <v>219</v>
      </c>
      <c r="G17" s="8" t="s">
        <v>78</v>
      </c>
      <c r="H17" s="38" t="s">
        <v>26</v>
      </c>
      <c r="J17" s="4">
        <v>6.5</v>
      </c>
      <c r="K17" s="4" t="s">
        <v>169</v>
      </c>
      <c r="L17" s="5">
        <v>2.5000000000000001E-2</v>
      </c>
      <c r="N17" s="22">
        <v>6.54</v>
      </c>
      <c r="Q17" s="27">
        <f t="shared" si="0"/>
        <v>6.153846153846159E-3</v>
      </c>
      <c r="R17" s="27"/>
      <c r="S17" s="38" t="s">
        <v>26</v>
      </c>
      <c r="V17" s="22">
        <v>6.4980000000000002</v>
      </c>
      <c r="Y17" s="27">
        <f t="shared" si="8"/>
        <v>-3.0769230769227382E-4</v>
      </c>
      <c r="Z17" s="27"/>
      <c r="AA17" s="38" t="s">
        <v>26</v>
      </c>
      <c r="AD17" s="22">
        <v>6.6379999999999999</v>
      </c>
      <c r="AG17" s="27">
        <f t="shared" si="9"/>
        <v>2.1230769230769216E-2</v>
      </c>
      <c r="AH17" s="27"/>
      <c r="AI17" s="38" t="s">
        <v>26</v>
      </c>
      <c r="AL17" s="22">
        <v>6.6379999999999999</v>
      </c>
      <c r="AO17" s="27">
        <f t="shared" si="10"/>
        <v>2.1230769230769216E-2</v>
      </c>
      <c r="AP17" s="27"/>
      <c r="AQ17" s="38" t="s">
        <v>26</v>
      </c>
    </row>
    <row r="18" spans="2:46" x14ac:dyDescent="0.3">
      <c r="B18" s="10" t="s">
        <v>38</v>
      </c>
      <c r="C18" s="75"/>
      <c r="D18" s="8" t="s">
        <v>254</v>
      </c>
      <c r="E18" s="8" t="s">
        <v>64</v>
      </c>
      <c r="F18" s="8" t="s">
        <v>268</v>
      </c>
      <c r="G18" s="8" t="s">
        <v>178</v>
      </c>
      <c r="H18" s="38" t="s">
        <v>26</v>
      </c>
      <c r="J18" s="4">
        <v>1.5</v>
      </c>
      <c r="K18" s="4" t="s">
        <v>169</v>
      </c>
      <c r="L18" s="5">
        <v>2.5000000000000001E-2</v>
      </c>
      <c r="N18" s="22">
        <v>1.4990000000000001</v>
      </c>
      <c r="Q18" s="27">
        <f t="shared" ref="Q18:Q23" si="11">(N18-$J18)/$J18</f>
        <v>-6.6666666666659324E-4</v>
      </c>
      <c r="R18" s="27"/>
      <c r="S18" s="38" t="s">
        <v>26</v>
      </c>
      <c r="V18" s="22">
        <v>1.478</v>
      </c>
      <c r="Y18" s="27">
        <f t="shared" si="8"/>
        <v>-1.466666666666668E-2</v>
      </c>
      <c r="Z18" s="27"/>
      <c r="AA18" s="38" t="s">
        <v>26</v>
      </c>
      <c r="AD18" s="22">
        <v>1.4870000000000001</v>
      </c>
      <c r="AG18" s="27">
        <f t="shared" si="9"/>
        <v>-8.6666666666666003E-3</v>
      </c>
      <c r="AH18" s="27"/>
      <c r="AI18" s="38" t="s">
        <v>26</v>
      </c>
      <c r="AL18" s="22">
        <v>1.4870000000000001</v>
      </c>
      <c r="AO18" s="27">
        <f t="shared" si="10"/>
        <v>-8.6666666666666003E-3</v>
      </c>
      <c r="AP18" s="27"/>
      <c r="AQ18" s="38" t="s">
        <v>26</v>
      </c>
    </row>
    <row r="19" spans="2:46" x14ac:dyDescent="0.3">
      <c r="B19" s="10" t="s">
        <v>39</v>
      </c>
      <c r="C19" s="75"/>
      <c r="D19" s="8" t="s">
        <v>254</v>
      </c>
      <c r="E19" s="8" t="s">
        <v>64</v>
      </c>
      <c r="F19" s="8" t="s">
        <v>269</v>
      </c>
      <c r="G19" s="8" t="s">
        <v>178</v>
      </c>
      <c r="H19" s="38" t="s">
        <v>26</v>
      </c>
      <c r="J19" s="4">
        <v>1.8</v>
      </c>
      <c r="K19" s="4" t="s">
        <v>169</v>
      </c>
      <c r="L19" s="5">
        <v>2.5000000000000001E-2</v>
      </c>
      <c r="N19" s="22">
        <v>1.7989999999999999</v>
      </c>
      <c r="Q19" s="27">
        <f t="shared" si="11"/>
        <v>-5.5555555555561768E-4</v>
      </c>
      <c r="R19" s="27"/>
      <c r="S19" s="38" t="s">
        <v>26</v>
      </c>
      <c r="V19" s="22">
        <v>1.782</v>
      </c>
      <c r="Y19" s="27">
        <f t="shared" si="8"/>
        <v>-1.0000000000000009E-2</v>
      </c>
      <c r="Z19" s="27"/>
      <c r="AA19" s="38" t="s">
        <v>26</v>
      </c>
      <c r="AD19" s="22">
        <v>1.788</v>
      </c>
      <c r="AG19" s="27">
        <f t="shared" si="9"/>
        <v>-6.6666666666666723E-3</v>
      </c>
      <c r="AH19" s="27"/>
      <c r="AI19" s="38" t="s">
        <v>26</v>
      </c>
      <c r="AL19" s="22">
        <v>1.788</v>
      </c>
      <c r="AO19" s="27">
        <f t="shared" si="10"/>
        <v>-6.6666666666666723E-3</v>
      </c>
      <c r="AP19" s="27"/>
      <c r="AQ19" s="38" t="s">
        <v>26</v>
      </c>
    </row>
    <row r="20" spans="2:46" x14ac:dyDescent="0.3">
      <c r="B20" s="10" t="s">
        <v>40</v>
      </c>
      <c r="C20" s="75"/>
      <c r="D20" s="8" t="s">
        <v>254</v>
      </c>
      <c r="E20" s="8" t="s">
        <v>64</v>
      </c>
      <c r="F20" s="8" t="s">
        <v>270</v>
      </c>
      <c r="G20" s="8" t="s">
        <v>178</v>
      </c>
      <c r="H20" s="38" t="s">
        <v>26</v>
      </c>
      <c r="J20" s="4">
        <v>2.5</v>
      </c>
      <c r="K20" s="4" t="s">
        <v>169</v>
      </c>
      <c r="L20" s="5">
        <v>2.5000000000000001E-2</v>
      </c>
      <c r="N20" s="22">
        <v>2.4990000000000001</v>
      </c>
      <c r="Q20" s="27">
        <f t="shared" si="11"/>
        <v>-3.9999999999995595E-4</v>
      </c>
      <c r="R20" s="27"/>
      <c r="S20" s="38" t="s">
        <v>26</v>
      </c>
      <c r="V20" s="22">
        <v>2.488</v>
      </c>
      <c r="Y20" s="27">
        <f t="shared" si="8"/>
        <v>-4.8000000000000039E-3</v>
      </c>
      <c r="Z20" s="27"/>
      <c r="AA20" s="38" t="s">
        <v>26</v>
      </c>
      <c r="AD20" s="22">
        <v>2.488</v>
      </c>
      <c r="AG20" s="27">
        <f t="shared" si="9"/>
        <v>-4.8000000000000039E-3</v>
      </c>
      <c r="AH20" s="27"/>
      <c r="AI20" s="38" t="s">
        <v>26</v>
      </c>
      <c r="AL20" s="22">
        <v>2.488</v>
      </c>
      <c r="AO20" s="27">
        <f t="shared" si="10"/>
        <v>-4.8000000000000039E-3</v>
      </c>
      <c r="AP20" s="27"/>
      <c r="AQ20" s="38" t="s">
        <v>26</v>
      </c>
    </row>
    <row r="21" spans="2:46" x14ac:dyDescent="0.3">
      <c r="B21" s="10" t="s">
        <v>41</v>
      </c>
      <c r="C21" s="75"/>
      <c r="D21" s="8" t="s">
        <v>254</v>
      </c>
      <c r="E21" s="8" t="s">
        <v>64</v>
      </c>
      <c r="F21" s="8" t="s">
        <v>271</v>
      </c>
      <c r="G21" s="8" t="s">
        <v>178</v>
      </c>
      <c r="H21" s="38" t="s">
        <v>26</v>
      </c>
      <c r="J21" s="4">
        <v>3.3</v>
      </c>
      <c r="K21" s="4" t="s">
        <v>169</v>
      </c>
      <c r="L21" s="5">
        <v>2.5000000000000001E-2</v>
      </c>
      <c r="N21" s="22">
        <v>3.2959999999999998</v>
      </c>
      <c r="Q21" s="27">
        <f t="shared" si="11"/>
        <v>-1.2121212121212132E-3</v>
      </c>
      <c r="R21" s="27"/>
      <c r="S21" s="38" t="s">
        <v>26</v>
      </c>
      <c r="V21" s="22">
        <v>3.2890000000000001</v>
      </c>
      <c r="Y21" s="27">
        <f t="shared" si="8"/>
        <v>-3.3333333333332355E-3</v>
      </c>
      <c r="Z21" s="27"/>
      <c r="AA21" s="38" t="s">
        <v>26</v>
      </c>
      <c r="AD21" s="22">
        <v>3.2879999999999998</v>
      </c>
      <c r="AG21" s="27">
        <f t="shared" si="9"/>
        <v>-3.6363636363636398E-3</v>
      </c>
      <c r="AH21" s="27"/>
      <c r="AI21" s="38" t="s">
        <v>26</v>
      </c>
      <c r="AL21" s="22">
        <v>3.2879999999999998</v>
      </c>
      <c r="AO21" s="27">
        <f t="shared" si="10"/>
        <v>-3.6363636363636398E-3</v>
      </c>
      <c r="AP21" s="27"/>
      <c r="AQ21" s="38" t="s">
        <v>26</v>
      </c>
    </row>
    <row r="22" spans="2:46" x14ac:dyDescent="0.3">
      <c r="B22" s="10" t="s">
        <v>42</v>
      </c>
      <c r="C22" s="75"/>
      <c r="D22" s="8" t="s">
        <v>254</v>
      </c>
      <c r="E22" s="8" t="s">
        <v>64</v>
      </c>
      <c r="F22" s="8" t="s">
        <v>272</v>
      </c>
      <c r="G22" s="8" t="s">
        <v>178</v>
      </c>
      <c r="H22" s="38" t="s">
        <v>26</v>
      </c>
      <c r="J22" s="4">
        <v>5</v>
      </c>
      <c r="K22" s="4" t="s">
        <v>169</v>
      </c>
      <c r="L22" s="5">
        <v>2.5000000000000001E-2</v>
      </c>
      <c r="N22" s="22">
        <v>4.9960000000000004</v>
      </c>
      <c r="Q22" s="27">
        <f t="shared" si="11"/>
        <v>-7.9999999999991189E-4</v>
      </c>
      <c r="R22" s="27"/>
      <c r="S22" s="38" t="s">
        <v>26</v>
      </c>
      <c r="V22" s="22">
        <v>4.9859999999999998</v>
      </c>
      <c r="Y22" s="27">
        <f t="shared" si="8"/>
        <v>-2.8000000000000468E-3</v>
      </c>
      <c r="Z22" s="27"/>
      <c r="AA22" s="38" t="s">
        <v>26</v>
      </c>
      <c r="AD22" s="22">
        <v>4.9850000000000003</v>
      </c>
      <c r="AG22" s="27">
        <f t="shared" si="9"/>
        <v>-2.9999999999999359E-3</v>
      </c>
      <c r="AH22" s="27"/>
      <c r="AI22" s="38" t="s">
        <v>26</v>
      </c>
      <c r="AL22" s="22">
        <v>4.9850000000000003</v>
      </c>
      <c r="AO22" s="27">
        <f t="shared" si="10"/>
        <v>-2.9999999999999359E-3</v>
      </c>
      <c r="AP22" s="27"/>
      <c r="AQ22" s="38" t="s">
        <v>26</v>
      </c>
    </row>
    <row r="23" spans="2:46" x14ac:dyDescent="0.3">
      <c r="B23" s="10" t="s">
        <v>43</v>
      </c>
      <c r="C23" s="75"/>
      <c r="D23" s="8" t="s">
        <v>254</v>
      </c>
      <c r="E23" s="8" t="s">
        <v>64</v>
      </c>
      <c r="F23" s="8" t="s">
        <v>273</v>
      </c>
      <c r="G23" s="8" t="s">
        <v>178</v>
      </c>
      <c r="H23" s="38" t="s">
        <v>26</v>
      </c>
      <c r="J23" s="4">
        <v>6</v>
      </c>
      <c r="K23" s="4" t="s">
        <v>169</v>
      </c>
      <c r="L23" s="5">
        <v>2.5000000000000001E-2</v>
      </c>
      <c r="N23" s="22">
        <v>5.9930000000000003</v>
      </c>
      <c r="Q23" s="27">
        <f t="shared" si="11"/>
        <v>-1.1666666666666121E-3</v>
      </c>
      <c r="R23" s="27"/>
      <c r="S23" s="38" t="s">
        <v>26</v>
      </c>
      <c r="V23" s="22">
        <v>5.9980000000000002</v>
      </c>
      <c r="Y23" s="27">
        <f t="shared" si="8"/>
        <v>-3.3333333333329662E-4</v>
      </c>
      <c r="Z23" s="27"/>
      <c r="AA23" s="38" t="s">
        <v>26</v>
      </c>
      <c r="AD23" s="22">
        <v>5.9960000000000004</v>
      </c>
      <c r="AG23" s="27">
        <f t="shared" si="9"/>
        <v>-6.6666666666659324E-4</v>
      </c>
      <c r="AH23" s="27"/>
      <c r="AI23" s="38" t="s">
        <v>26</v>
      </c>
      <c r="AL23" s="22">
        <v>5.9960000000000004</v>
      </c>
      <c r="AO23" s="27">
        <f t="shared" si="10"/>
        <v>-6.6666666666659324E-4</v>
      </c>
      <c r="AP23" s="27"/>
      <c r="AQ23" s="38" t="s">
        <v>26</v>
      </c>
    </row>
    <row r="24" spans="2:46" ht="28.8" x14ac:dyDescent="0.3">
      <c r="B24" s="10" t="s">
        <v>44</v>
      </c>
      <c r="C24" s="75"/>
      <c r="D24" s="8" t="s">
        <v>254</v>
      </c>
      <c r="E24" s="8" t="s">
        <v>64</v>
      </c>
      <c r="F24" s="8" t="s">
        <v>255</v>
      </c>
      <c r="G24" s="10" t="s">
        <v>190</v>
      </c>
      <c r="H24" s="38" t="s">
        <v>26</v>
      </c>
      <c r="J24" s="4" t="s">
        <v>187</v>
      </c>
      <c r="K24" s="4" t="s">
        <v>169</v>
      </c>
      <c r="L24" s="5">
        <v>0.02</v>
      </c>
      <c r="N24" s="22">
        <v>5.9930000000000003</v>
      </c>
      <c r="P24" s="22">
        <v>5.992</v>
      </c>
      <c r="Q24" s="27">
        <f>(O24-$N24)/$N24</f>
        <v>-1</v>
      </c>
      <c r="R24" s="27">
        <f t="shared" ref="R24" si="12">(P24-$N24)/$N24</f>
        <v>-1.6686133822798831E-4</v>
      </c>
      <c r="S24" s="38" t="s">
        <v>26</v>
      </c>
      <c r="V24" s="22">
        <v>5.9980000000000002</v>
      </c>
      <c r="X24" s="22">
        <v>6.0190000000000001</v>
      </c>
      <c r="Y24" s="27">
        <f>(W24-$V24)/$V24</f>
        <v>-1</v>
      </c>
      <c r="Z24" s="27">
        <f>(X24-$V24)/$V24</f>
        <v>3.5011670556852129E-3</v>
      </c>
      <c r="AA24" s="38" t="s">
        <v>26</v>
      </c>
      <c r="AD24" s="22">
        <v>5.9960000000000004</v>
      </c>
      <c r="AE24" s="22">
        <v>5.9989999999999997</v>
      </c>
      <c r="AG24" s="27">
        <f>(AE24-$V24)/$V24</f>
        <v>1.6672224074682323E-4</v>
      </c>
      <c r="AH24" s="27"/>
      <c r="AI24" s="38" t="s">
        <v>26</v>
      </c>
      <c r="AL24" s="22">
        <v>5.9960000000000004</v>
      </c>
      <c r="AM24" s="22">
        <v>5.9989999999999997</v>
      </c>
      <c r="AO24" s="27">
        <f>(AM24-$V24)/$V24</f>
        <v>1.6672224074682323E-4</v>
      </c>
      <c r="AP24" s="27"/>
      <c r="AQ24" s="38" t="s">
        <v>26</v>
      </c>
    </row>
    <row r="25" spans="2:46" ht="28.8" x14ac:dyDescent="0.3">
      <c r="B25" s="10" t="s">
        <v>45</v>
      </c>
      <c r="C25" s="75"/>
      <c r="D25" s="8" t="s">
        <v>254</v>
      </c>
      <c r="E25" s="8" t="s">
        <v>275</v>
      </c>
      <c r="F25" s="8" t="s">
        <v>232</v>
      </c>
      <c r="G25" s="8" t="s">
        <v>178</v>
      </c>
      <c r="H25" s="38" t="s">
        <v>26</v>
      </c>
      <c r="J25" s="4">
        <v>500</v>
      </c>
      <c r="K25" s="1" t="s">
        <v>181</v>
      </c>
      <c r="L25" s="5">
        <v>0.05</v>
      </c>
      <c r="N25" s="22">
        <v>500</v>
      </c>
      <c r="Q25" s="27">
        <f t="shared" ref="Q25" si="13">(N25-$J25)/$J25</f>
        <v>0</v>
      </c>
      <c r="R25" s="27"/>
      <c r="S25" s="38" t="s">
        <v>26</v>
      </c>
      <c r="V25" s="22">
        <v>494</v>
      </c>
      <c r="Y25" s="27">
        <f t="shared" ref="Y25" si="14">(V25-$J25)/$J25</f>
        <v>-1.2E-2</v>
      </c>
      <c r="Z25" s="27"/>
      <c r="AA25" s="38" t="s">
        <v>26</v>
      </c>
      <c r="AD25" s="22">
        <v>502</v>
      </c>
      <c r="AG25" s="27">
        <f t="shared" ref="AG25" si="15">(AD25-$J25)/$J25</f>
        <v>4.0000000000000001E-3</v>
      </c>
      <c r="AH25" s="27"/>
      <c r="AI25" s="38" t="s">
        <v>26</v>
      </c>
      <c r="AL25" s="22">
        <v>502</v>
      </c>
      <c r="AO25" s="27">
        <f t="shared" ref="AO25" si="16">(AL25-$J25)/$J25</f>
        <v>4.0000000000000001E-3</v>
      </c>
      <c r="AP25" s="27"/>
      <c r="AQ25" s="38" t="s">
        <v>26</v>
      </c>
    </row>
    <row r="26" spans="2:46" ht="28.8" x14ac:dyDescent="0.3">
      <c r="B26" s="10" t="s">
        <v>46</v>
      </c>
      <c r="C26" s="75"/>
      <c r="D26" s="8" t="s">
        <v>254</v>
      </c>
      <c r="E26" s="8" t="s">
        <v>275</v>
      </c>
      <c r="F26" s="8" t="s">
        <v>233</v>
      </c>
      <c r="G26" s="8" t="s">
        <v>178</v>
      </c>
      <c r="H26" s="38" t="s">
        <v>26</v>
      </c>
      <c r="J26" s="4" t="s">
        <v>226</v>
      </c>
      <c r="K26" s="1" t="s">
        <v>181</v>
      </c>
      <c r="N26" s="22">
        <v>490</v>
      </c>
      <c r="R26" s="27"/>
      <c r="S26" s="38" t="s">
        <v>26</v>
      </c>
      <c r="V26" s="22">
        <v>460</v>
      </c>
      <c r="Z26" s="27"/>
      <c r="AA26" s="38" t="s">
        <v>26</v>
      </c>
      <c r="AD26" s="22">
        <v>460</v>
      </c>
      <c r="AH26" s="27"/>
      <c r="AI26" s="38" t="s">
        <v>26</v>
      </c>
      <c r="AL26" s="22">
        <v>460</v>
      </c>
      <c r="AP26" s="27"/>
      <c r="AQ26" s="38" t="s">
        <v>26</v>
      </c>
    </row>
    <row r="27" spans="2:46" ht="28.8" x14ac:dyDescent="0.3">
      <c r="B27" s="10" t="s">
        <v>47</v>
      </c>
      <c r="C27" s="75"/>
      <c r="D27" s="8" t="s">
        <v>254</v>
      </c>
      <c r="E27" s="8" t="s">
        <v>64</v>
      </c>
      <c r="F27" s="8" t="s">
        <v>259</v>
      </c>
      <c r="G27" s="10" t="s">
        <v>197</v>
      </c>
      <c r="H27" s="38" t="s">
        <v>26</v>
      </c>
      <c r="J27" s="4" t="s">
        <v>187</v>
      </c>
      <c r="K27" s="4" t="s">
        <v>181</v>
      </c>
      <c r="L27" s="5">
        <v>0.1</v>
      </c>
      <c r="N27" s="22">
        <v>300</v>
      </c>
      <c r="P27" s="22">
        <v>302</v>
      </c>
      <c r="Q27" s="27"/>
      <c r="R27" s="27">
        <f t="shared" ref="R27" si="17">(P27-$N27)/$N27</f>
        <v>6.6666666666666671E-3</v>
      </c>
      <c r="S27" s="38" t="s">
        <v>26</v>
      </c>
      <c r="V27" s="22">
        <v>300</v>
      </c>
      <c r="X27" s="22">
        <v>307</v>
      </c>
      <c r="Y27" s="27"/>
      <c r="Z27" s="27">
        <f>(X27-$V27)/$V27</f>
        <v>2.3333333333333334E-2</v>
      </c>
      <c r="AA27" s="38" t="s">
        <v>26</v>
      </c>
      <c r="AD27" s="22">
        <v>300</v>
      </c>
      <c r="AF27" s="22">
        <v>304</v>
      </c>
      <c r="AG27" s="27"/>
      <c r="AH27" s="27">
        <f>(AF27-$V27)/$V27</f>
        <v>1.3333333333333334E-2</v>
      </c>
      <c r="AI27" s="38" t="s">
        <v>26</v>
      </c>
      <c r="AL27" s="22">
        <v>300</v>
      </c>
      <c r="AN27" s="22">
        <v>304</v>
      </c>
      <c r="AO27" s="27"/>
      <c r="AP27" s="27">
        <f>(AN27-$V27)/$V27</f>
        <v>1.3333333333333334E-2</v>
      </c>
      <c r="AQ27" s="38" t="s">
        <v>26</v>
      </c>
      <c r="AT27" s="12" t="s">
        <v>249</v>
      </c>
    </row>
    <row r="28" spans="2:46" x14ac:dyDescent="0.3">
      <c r="B28" s="10" t="s">
        <v>48</v>
      </c>
      <c r="C28" s="75"/>
      <c r="D28" s="8" t="s">
        <v>260</v>
      </c>
      <c r="E28" s="8" t="s">
        <v>261</v>
      </c>
      <c r="F28" s="8" t="s">
        <v>174</v>
      </c>
      <c r="G28" s="8" t="s">
        <v>13</v>
      </c>
      <c r="H28" s="38" t="s">
        <v>26</v>
      </c>
      <c r="I28" s="21"/>
      <c r="J28" s="4">
        <v>5</v>
      </c>
      <c r="K28" s="4" t="s">
        <v>169</v>
      </c>
      <c r="L28" s="5">
        <v>2.5000000000000001E-2</v>
      </c>
      <c r="N28" s="22">
        <v>4.9989999999999997</v>
      </c>
      <c r="Q28" s="27">
        <f t="shared" ref="Q28:Q29" si="18">(N28-$J28)/$J28</f>
        <v>-2.000000000000668E-4</v>
      </c>
      <c r="R28" s="27"/>
      <c r="S28" s="38" t="s">
        <v>26</v>
      </c>
      <c r="V28" s="22">
        <v>4.9480000000000004</v>
      </c>
      <c r="Y28" s="27">
        <f t="shared" ref="Y28:Y29" si="19">(V28-$J28)/$J28</f>
        <v>-1.039999999999992E-2</v>
      </c>
      <c r="Z28" s="27"/>
      <c r="AA28" s="38" t="s">
        <v>26</v>
      </c>
      <c r="AD28" s="22">
        <v>4.9000000000000004</v>
      </c>
      <c r="AG28" s="27">
        <f t="shared" ref="AG28:AG29" si="20">(AD28-$J28)/$J28</f>
        <v>-1.9999999999999928E-2</v>
      </c>
      <c r="AH28" s="27"/>
      <c r="AI28" s="38" t="s">
        <v>26</v>
      </c>
      <c r="AL28" s="22">
        <v>4.9000000000000004</v>
      </c>
      <c r="AO28" s="27">
        <f t="shared" ref="AO28:AO29" si="21">(AL28-$J28)/$J28</f>
        <v>-1.9999999999999928E-2</v>
      </c>
      <c r="AP28" s="27"/>
      <c r="AQ28" s="38" t="s">
        <v>26</v>
      </c>
    </row>
    <row r="29" spans="2:46" ht="28.8" x14ac:dyDescent="0.3">
      <c r="B29" s="10" t="s">
        <v>49</v>
      </c>
      <c r="C29" s="75"/>
      <c r="D29" s="8" t="s">
        <v>260</v>
      </c>
      <c r="E29" s="8" t="s">
        <v>277</v>
      </c>
      <c r="F29" s="8" t="s">
        <v>218</v>
      </c>
      <c r="G29" s="8" t="s">
        <v>177</v>
      </c>
      <c r="H29" s="38" t="s">
        <v>26</v>
      </c>
      <c r="J29" s="4">
        <v>5</v>
      </c>
      <c r="K29" s="4" t="s">
        <v>169</v>
      </c>
      <c r="L29" s="5">
        <v>2.5000000000000001E-2</v>
      </c>
      <c r="N29" s="22">
        <v>4.9870000000000001</v>
      </c>
      <c r="Q29" s="27">
        <f t="shared" si="18"/>
        <v>-2.5999999999999799E-3</v>
      </c>
      <c r="R29" s="27"/>
      <c r="S29" s="38" t="s">
        <v>26</v>
      </c>
      <c r="V29" s="22">
        <v>4.9329999999999998</v>
      </c>
      <c r="Y29" s="27">
        <f t="shared" si="19"/>
        <v>-1.3400000000000033E-2</v>
      </c>
      <c r="Z29" s="27"/>
      <c r="AA29" s="38" t="s">
        <v>26</v>
      </c>
      <c r="AD29" s="22">
        <v>4.97</v>
      </c>
      <c r="AG29" s="27">
        <f t="shared" si="20"/>
        <v>-6.0000000000000496E-3</v>
      </c>
      <c r="AH29" s="27"/>
      <c r="AI29" s="38" t="s">
        <v>26</v>
      </c>
      <c r="AL29" s="22">
        <v>4.97</v>
      </c>
      <c r="AO29" s="27">
        <f t="shared" si="21"/>
        <v>-6.0000000000000496E-3</v>
      </c>
      <c r="AP29" s="27"/>
      <c r="AQ29" s="38" t="s">
        <v>26</v>
      </c>
    </row>
    <row r="30" spans="2:46" x14ac:dyDescent="0.3">
      <c r="B30" s="10" t="s">
        <v>50</v>
      </c>
      <c r="C30" s="75"/>
      <c r="D30" s="8" t="s">
        <v>260</v>
      </c>
      <c r="E30" s="8" t="s">
        <v>251</v>
      </c>
      <c r="F30" s="8" t="s">
        <v>256</v>
      </c>
      <c r="G30" s="10"/>
      <c r="H30" s="38" t="s">
        <v>26</v>
      </c>
      <c r="K30" s="4"/>
      <c r="Q30" s="27"/>
      <c r="R30" s="27"/>
      <c r="S30" s="38" t="s">
        <v>26</v>
      </c>
      <c r="Y30" s="27"/>
      <c r="Z30" s="27"/>
      <c r="AA30" s="38" t="s">
        <v>26</v>
      </c>
      <c r="AG30" s="27"/>
      <c r="AH30" s="27"/>
      <c r="AI30" s="38" t="s">
        <v>26</v>
      </c>
      <c r="AO30" s="27"/>
      <c r="AP30" s="27"/>
      <c r="AQ30" s="38" t="s">
        <v>26</v>
      </c>
    </row>
    <row r="31" spans="2:46" x14ac:dyDescent="0.3">
      <c r="B31" s="10" t="s">
        <v>51</v>
      </c>
      <c r="C31" s="75"/>
      <c r="D31" s="8" t="s">
        <v>260</v>
      </c>
      <c r="E31" s="8" t="s">
        <v>64</v>
      </c>
      <c r="F31" s="8" t="s">
        <v>264</v>
      </c>
      <c r="G31" s="8" t="s">
        <v>179</v>
      </c>
      <c r="H31" s="38" t="s">
        <v>26</v>
      </c>
      <c r="J31" s="4">
        <v>1.5</v>
      </c>
      <c r="K31" s="4" t="s">
        <v>169</v>
      </c>
      <c r="L31" s="5">
        <v>2.5000000000000001E-2</v>
      </c>
      <c r="N31" s="22">
        <v>1.4950000000000001</v>
      </c>
      <c r="Q31" s="27">
        <f t="shared" ref="Q31:Q34" si="22">(N31-$J31)/$J31</f>
        <v>-3.3333333333332624E-3</v>
      </c>
      <c r="R31" s="27"/>
      <c r="S31" s="38" t="s">
        <v>26</v>
      </c>
      <c r="V31" s="22">
        <v>1.482</v>
      </c>
      <c r="Y31" s="27">
        <f t="shared" ref="Y31:Y34" si="23">(V31-$J31)/$J31</f>
        <v>-1.2000000000000011E-2</v>
      </c>
      <c r="Z31" s="27"/>
      <c r="AA31" s="38" t="s">
        <v>26</v>
      </c>
      <c r="AD31" s="22">
        <v>1.504</v>
      </c>
      <c r="AG31" s="27">
        <f t="shared" ref="AG31:AG34" si="24">(AD31-$J31)/$J31</f>
        <v>2.6666666666666692E-3</v>
      </c>
      <c r="AH31" s="27"/>
      <c r="AI31" s="38" t="s">
        <v>26</v>
      </c>
      <c r="AL31" s="22">
        <v>1.504</v>
      </c>
      <c r="AO31" s="27">
        <f t="shared" ref="AO31:AO34" si="25">(AL31-$J31)/$J31</f>
        <v>2.6666666666666692E-3</v>
      </c>
      <c r="AP31" s="27"/>
      <c r="AQ31" s="38" t="s">
        <v>26</v>
      </c>
    </row>
    <row r="32" spans="2:46" x14ac:dyDescent="0.3">
      <c r="B32" s="10" t="s">
        <v>52</v>
      </c>
      <c r="C32" s="75"/>
      <c r="D32" s="8" t="s">
        <v>260</v>
      </c>
      <c r="E32" s="8" t="s">
        <v>64</v>
      </c>
      <c r="F32" s="8" t="s">
        <v>265</v>
      </c>
      <c r="G32" s="8" t="s">
        <v>179</v>
      </c>
      <c r="H32" s="38" t="s">
        <v>26</v>
      </c>
      <c r="J32" s="4">
        <v>1.8</v>
      </c>
      <c r="K32" s="4" t="s">
        <v>169</v>
      </c>
      <c r="L32" s="5">
        <v>2.5000000000000001E-2</v>
      </c>
      <c r="N32" s="22">
        <v>1.794</v>
      </c>
      <c r="Q32" s="27">
        <f t="shared" si="22"/>
        <v>-3.3333333333333361E-3</v>
      </c>
      <c r="R32" s="27"/>
      <c r="S32" s="38" t="s">
        <v>26</v>
      </c>
      <c r="V32" s="22">
        <v>1.7849999999999999</v>
      </c>
      <c r="Y32" s="27">
        <f t="shared" si="23"/>
        <v>-8.3333333333334026E-3</v>
      </c>
      <c r="Z32" s="27"/>
      <c r="AA32" s="38" t="s">
        <v>26</v>
      </c>
      <c r="AD32" s="22">
        <v>1.8049999999999999</v>
      </c>
      <c r="AG32" s="27">
        <f t="shared" si="24"/>
        <v>2.7777777777777185E-3</v>
      </c>
      <c r="AH32" s="27"/>
      <c r="AI32" s="38" t="s">
        <v>26</v>
      </c>
      <c r="AL32" s="22">
        <v>1.8049999999999999</v>
      </c>
      <c r="AO32" s="27">
        <f t="shared" si="25"/>
        <v>2.7777777777777185E-3</v>
      </c>
      <c r="AP32" s="27"/>
      <c r="AQ32" s="38" t="s">
        <v>26</v>
      </c>
    </row>
    <row r="33" spans="2:46" x14ac:dyDescent="0.3">
      <c r="B33" s="10" t="s">
        <v>53</v>
      </c>
      <c r="C33" s="75"/>
      <c r="D33" s="8" t="s">
        <v>260</v>
      </c>
      <c r="E33" s="8" t="s">
        <v>64</v>
      </c>
      <c r="F33" s="8" t="s">
        <v>266</v>
      </c>
      <c r="G33" s="8" t="s">
        <v>179</v>
      </c>
      <c r="H33" s="38" t="s">
        <v>26</v>
      </c>
      <c r="J33" s="4">
        <v>2.5</v>
      </c>
      <c r="K33" s="4" t="s">
        <v>169</v>
      </c>
      <c r="L33" s="5">
        <v>2.5000000000000001E-2</v>
      </c>
      <c r="N33" s="22">
        <v>2.4910000000000001</v>
      </c>
      <c r="Q33" s="27">
        <f t="shared" si="22"/>
        <v>-3.5999999999999587E-3</v>
      </c>
      <c r="R33" s="27"/>
      <c r="S33" s="38" t="s">
        <v>26</v>
      </c>
      <c r="V33" s="22">
        <v>2.4889999999999999</v>
      </c>
      <c r="Y33" s="27">
        <f t="shared" si="23"/>
        <v>-4.400000000000048E-3</v>
      </c>
      <c r="Z33" s="27"/>
      <c r="AA33" s="38" t="s">
        <v>26</v>
      </c>
      <c r="AD33" s="22">
        <v>2.5059999999999998</v>
      </c>
      <c r="AG33" s="27">
        <f t="shared" si="24"/>
        <v>2.3999999999999135E-3</v>
      </c>
      <c r="AH33" s="27"/>
      <c r="AI33" s="38" t="s">
        <v>26</v>
      </c>
      <c r="AL33" s="22">
        <v>2.5059999999999998</v>
      </c>
      <c r="AO33" s="27">
        <f t="shared" si="25"/>
        <v>2.3999999999999135E-3</v>
      </c>
      <c r="AP33" s="27"/>
      <c r="AQ33" s="38" t="s">
        <v>26</v>
      </c>
    </row>
    <row r="34" spans="2:46" x14ac:dyDescent="0.3">
      <c r="B34" s="10" t="s">
        <v>54</v>
      </c>
      <c r="C34" s="75"/>
      <c r="D34" s="8" t="s">
        <v>260</v>
      </c>
      <c r="E34" s="8" t="s">
        <v>64</v>
      </c>
      <c r="F34" s="8" t="s">
        <v>267</v>
      </c>
      <c r="G34" s="8" t="s">
        <v>179</v>
      </c>
      <c r="H34" s="38" t="s">
        <v>26</v>
      </c>
      <c r="J34" s="4">
        <v>3.3</v>
      </c>
      <c r="K34" s="4" t="s">
        <v>169</v>
      </c>
      <c r="L34" s="5">
        <v>2.5000000000000001E-2</v>
      </c>
      <c r="N34" s="22">
        <v>3.2869999999999999</v>
      </c>
      <c r="Q34" s="27">
        <f t="shared" si="22"/>
        <v>-3.9393939393939092E-3</v>
      </c>
      <c r="R34" s="27"/>
      <c r="S34" s="38" t="s">
        <v>26</v>
      </c>
      <c r="V34" s="22">
        <v>3.29</v>
      </c>
      <c r="Y34" s="27">
        <f t="shared" si="23"/>
        <v>-3.0303030303029657E-3</v>
      </c>
      <c r="Z34" s="27"/>
      <c r="AA34" s="38" t="s">
        <v>26</v>
      </c>
      <c r="AD34" s="22">
        <v>3.3069999999999999</v>
      </c>
      <c r="AG34" s="27">
        <f t="shared" si="24"/>
        <v>2.121212121212157E-3</v>
      </c>
      <c r="AH34" s="27"/>
      <c r="AI34" s="38" t="s">
        <v>26</v>
      </c>
      <c r="AL34" s="22">
        <v>3.3069999999999999</v>
      </c>
      <c r="AO34" s="27">
        <f t="shared" si="25"/>
        <v>2.121212121212157E-3</v>
      </c>
      <c r="AP34" s="27"/>
      <c r="AQ34" s="38" t="s">
        <v>26</v>
      </c>
    </row>
    <row r="35" spans="2:46" ht="28.8" x14ac:dyDescent="0.3">
      <c r="B35" s="10" t="s">
        <v>55</v>
      </c>
      <c r="C35" s="75"/>
      <c r="D35" s="8" t="s">
        <v>260</v>
      </c>
      <c r="E35" s="8" t="s">
        <v>64</v>
      </c>
      <c r="F35" s="8" t="s">
        <v>192</v>
      </c>
      <c r="G35" s="10" t="s">
        <v>191</v>
      </c>
      <c r="H35" s="38" t="s">
        <v>26</v>
      </c>
      <c r="J35" s="4" t="s">
        <v>187</v>
      </c>
      <c r="K35" s="4" t="s">
        <v>169</v>
      </c>
      <c r="L35" s="5">
        <v>1.0999999999999999E-2</v>
      </c>
      <c r="N35" s="22">
        <v>3.2869999999999999</v>
      </c>
      <c r="O35" s="22">
        <v>3.2879999999999998</v>
      </c>
      <c r="Q35" s="27">
        <f>(O35-$N35)/$N35</f>
        <v>3.0422878004255852E-4</v>
      </c>
      <c r="R35" s="27"/>
      <c r="S35" s="38" t="s">
        <v>26</v>
      </c>
      <c r="T35" s="12"/>
      <c r="V35" s="22">
        <v>3.29</v>
      </c>
      <c r="W35" s="22">
        <v>3.2890000000000001</v>
      </c>
      <c r="Y35" s="27">
        <f>(W35-$V35)/$V35</f>
        <v>-3.0395136778112153E-4</v>
      </c>
      <c r="Z35" s="27"/>
      <c r="AA35" s="38" t="s">
        <v>26</v>
      </c>
      <c r="AB35" s="12"/>
      <c r="AD35" s="22">
        <v>3.3069999999999999</v>
      </c>
      <c r="AE35" s="22">
        <v>3.31</v>
      </c>
      <c r="AG35" s="27">
        <f>(AE35-$V35)/$V35</f>
        <v>6.0790273556231055E-3</v>
      </c>
      <c r="AH35" s="27"/>
      <c r="AI35" s="38" t="s">
        <v>26</v>
      </c>
      <c r="AJ35" s="12"/>
      <c r="AL35" s="22">
        <v>3.3069999999999999</v>
      </c>
      <c r="AM35" s="22">
        <v>3.31</v>
      </c>
      <c r="AO35" s="27">
        <f>(AM35-$V35)/$V35</f>
        <v>6.0790273556231055E-3</v>
      </c>
      <c r="AP35" s="27"/>
      <c r="AQ35" s="38" t="s">
        <v>26</v>
      </c>
      <c r="AR35" s="12"/>
    </row>
    <row r="36" spans="2:46" ht="28.8" x14ac:dyDescent="0.3">
      <c r="B36" s="10" t="s">
        <v>56</v>
      </c>
      <c r="C36" s="75"/>
      <c r="D36" s="8" t="s">
        <v>260</v>
      </c>
      <c r="E36" s="8" t="s">
        <v>277</v>
      </c>
      <c r="F36" s="8" t="s">
        <v>235</v>
      </c>
      <c r="G36" s="8" t="s">
        <v>179</v>
      </c>
      <c r="H36" s="38" t="s">
        <v>26</v>
      </c>
      <c r="J36" s="4">
        <v>500</v>
      </c>
      <c r="K36" s="1" t="s">
        <v>181</v>
      </c>
      <c r="L36" s="5">
        <v>0.05</v>
      </c>
      <c r="N36" s="22">
        <v>495</v>
      </c>
      <c r="Q36" s="27">
        <f t="shared" ref="Q36" si="26">(N36-$J36)/$J36</f>
        <v>-0.01</v>
      </c>
      <c r="R36" s="27"/>
      <c r="S36" s="38" t="s">
        <v>26</v>
      </c>
      <c r="T36" s="12"/>
      <c r="V36" s="22">
        <v>494</v>
      </c>
      <c r="Y36" s="27">
        <f t="shared" ref="Y36" si="27">(V36-$J36)/$J36</f>
        <v>-1.2E-2</v>
      </c>
      <c r="Z36" s="27"/>
      <c r="AA36" s="38" t="s">
        <v>26</v>
      </c>
      <c r="AB36" s="12"/>
      <c r="AD36" s="22">
        <v>507</v>
      </c>
      <c r="AG36" s="27">
        <f t="shared" ref="AG36" si="28">(AD36-$J36)/$J36</f>
        <v>1.4E-2</v>
      </c>
      <c r="AH36" s="27"/>
      <c r="AI36" s="38" t="s">
        <v>26</v>
      </c>
      <c r="AJ36" s="12"/>
      <c r="AL36" s="22">
        <v>507</v>
      </c>
      <c r="AO36" s="27">
        <f t="shared" ref="AO36" si="29">(AL36-$J36)/$J36</f>
        <v>1.4E-2</v>
      </c>
      <c r="AP36" s="27"/>
      <c r="AQ36" s="38" t="s">
        <v>26</v>
      </c>
      <c r="AR36" s="12"/>
    </row>
    <row r="37" spans="2:46" x14ac:dyDescent="0.3">
      <c r="B37" s="10" t="s">
        <v>57</v>
      </c>
      <c r="C37" s="75"/>
      <c r="D37" s="8" t="s">
        <v>260</v>
      </c>
      <c r="E37" s="8" t="s">
        <v>277</v>
      </c>
      <c r="F37" s="8" t="s">
        <v>236</v>
      </c>
      <c r="G37" s="8" t="s">
        <v>179</v>
      </c>
      <c r="H37" s="38" t="s">
        <v>26</v>
      </c>
      <c r="J37" s="4" t="s">
        <v>226</v>
      </c>
      <c r="K37" s="1" t="s">
        <v>181</v>
      </c>
      <c r="N37" s="22">
        <v>490</v>
      </c>
      <c r="R37" s="27"/>
      <c r="S37" s="38" t="s">
        <v>26</v>
      </c>
      <c r="T37" s="12"/>
      <c r="V37" s="22">
        <v>480</v>
      </c>
      <c r="Z37" s="27"/>
      <c r="AA37" s="38" t="s">
        <v>26</v>
      </c>
      <c r="AB37" s="12"/>
      <c r="AD37" s="22">
        <v>480</v>
      </c>
      <c r="AH37" s="27"/>
      <c r="AI37" s="38" t="s">
        <v>26</v>
      </c>
      <c r="AJ37" s="12"/>
      <c r="AL37" s="22">
        <v>480</v>
      </c>
      <c r="AP37" s="27"/>
      <c r="AQ37" s="38" t="s">
        <v>26</v>
      </c>
      <c r="AR37" s="12"/>
    </row>
    <row r="38" spans="2:46" ht="28.8" x14ac:dyDescent="0.3">
      <c r="B38" s="10" t="s">
        <v>108</v>
      </c>
      <c r="C38" s="75"/>
      <c r="D38" s="8" t="s">
        <v>260</v>
      </c>
      <c r="E38" s="8" t="s">
        <v>64</v>
      </c>
      <c r="F38" s="8" t="s">
        <v>262</v>
      </c>
      <c r="G38" s="10" t="s">
        <v>198</v>
      </c>
      <c r="H38" s="38" t="s">
        <v>26</v>
      </c>
      <c r="J38" s="4" t="s">
        <v>187</v>
      </c>
      <c r="K38" s="4" t="s">
        <v>181</v>
      </c>
      <c r="L38" s="5">
        <v>0.1</v>
      </c>
      <c r="N38" s="22">
        <v>300</v>
      </c>
      <c r="P38" s="22">
        <v>297</v>
      </c>
      <c r="Q38" s="27"/>
      <c r="R38" s="27">
        <f t="shared" ref="R38" si="30">(P38-$N38)/$N38</f>
        <v>-0.01</v>
      </c>
      <c r="S38" s="38" t="s">
        <v>26</v>
      </c>
      <c r="V38" s="22">
        <v>300</v>
      </c>
      <c r="X38" s="22">
        <v>304</v>
      </c>
      <c r="Y38" s="27"/>
      <c r="Z38" s="27">
        <f>(X38-$V38)/$V38</f>
        <v>1.3333333333333334E-2</v>
      </c>
      <c r="AA38" s="38" t="s">
        <v>26</v>
      </c>
      <c r="AD38" s="22">
        <v>300</v>
      </c>
      <c r="AE38" s="22">
        <v>294</v>
      </c>
      <c r="AG38" s="27">
        <f t="shared" ref="AG38" si="31">(AE38-$V38)/$V38</f>
        <v>-0.02</v>
      </c>
      <c r="AH38" s="27"/>
      <c r="AI38" s="38" t="s">
        <v>26</v>
      </c>
      <c r="AL38" s="22">
        <v>300</v>
      </c>
      <c r="AM38" s="22">
        <v>294</v>
      </c>
      <c r="AO38" s="27">
        <f t="shared" ref="AO38" si="32">(AM38-$V38)/$V38</f>
        <v>-0.02</v>
      </c>
      <c r="AP38" s="27"/>
      <c r="AQ38" s="38" t="s">
        <v>26</v>
      </c>
      <c r="AT38" s="12" t="s">
        <v>249</v>
      </c>
    </row>
    <row r="39" spans="2:46" x14ac:dyDescent="0.3">
      <c r="B39" s="10" t="s">
        <v>109</v>
      </c>
      <c r="C39" s="75"/>
      <c r="D39" s="8" t="s">
        <v>10</v>
      </c>
      <c r="E39" s="8" t="s">
        <v>263</v>
      </c>
      <c r="F39" s="8" t="s">
        <v>27</v>
      </c>
      <c r="G39" s="8" t="s">
        <v>10</v>
      </c>
      <c r="H39" s="38" t="s">
        <v>26</v>
      </c>
      <c r="J39" s="4">
        <v>3.3</v>
      </c>
      <c r="K39" s="4" t="s">
        <v>169</v>
      </c>
      <c r="L39" s="5">
        <v>2.5000000000000001E-2</v>
      </c>
      <c r="N39" s="22">
        <v>3.27</v>
      </c>
      <c r="Q39" s="27">
        <f t="shared" ref="Q39" si="33">(N39-$J39)/$J39</f>
        <v>-9.0909090909090315E-3</v>
      </c>
      <c r="R39" s="27"/>
      <c r="S39" s="38" t="s">
        <v>26</v>
      </c>
      <c r="V39" s="22">
        <v>3.2789999999999999</v>
      </c>
      <c r="Y39" s="27">
        <f t="shared" ref="Y39:Y40" si="34">(V39-$J39)/$J39</f>
        <v>-6.3636363636363361E-3</v>
      </c>
      <c r="Z39" s="27"/>
      <c r="AA39" s="38" t="s">
        <v>26</v>
      </c>
      <c r="AD39" s="22">
        <v>3.3159999999999998</v>
      </c>
      <c r="AG39" s="27">
        <f t="shared" ref="AG39:AG40" si="35">(AD39-$J39)/$J39</f>
        <v>4.8484848484848528E-3</v>
      </c>
      <c r="AH39" s="27"/>
      <c r="AI39" s="38" t="s">
        <v>26</v>
      </c>
      <c r="AL39" s="22">
        <v>3.3159999999999998</v>
      </c>
      <c r="AO39" s="27">
        <f t="shared" ref="AO39:AO40" si="36">(AL39-$J39)/$J39</f>
        <v>4.8484848484848528E-3</v>
      </c>
      <c r="AP39" s="27"/>
      <c r="AQ39" s="38" t="s">
        <v>26</v>
      </c>
    </row>
    <row r="40" spans="2:46" ht="28.8" x14ac:dyDescent="0.3">
      <c r="B40" s="10" t="s">
        <v>110</v>
      </c>
      <c r="C40" s="75"/>
      <c r="D40" s="8" t="s">
        <v>10</v>
      </c>
      <c r="E40" s="8" t="s">
        <v>279</v>
      </c>
      <c r="F40" s="8" t="s">
        <v>274</v>
      </c>
      <c r="G40" s="8" t="s">
        <v>176</v>
      </c>
      <c r="H40" s="38" t="s">
        <v>26</v>
      </c>
      <c r="J40" s="4">
        <v>3.3</v>
      </c>
      <c r="K40" s="4" t="s">
        <v>169</v>
      </c>
      <c r="L40" s="5">
        <v>2.5000000000000001E-2</v>
      </c>
      <c r="N40" s="22">
        <v>3.2570000000000001</v>
      </c>
      <c r="Q40" s="27">
        <f t="shared" ref="Q40" si="37">(N40-$J40)/$J40</f>
        <v>-1.3030303030302942E-2</v>
      </c>
      <c r="R40" s="27"/>
      <c r="S40" s="38" t="s">
        <v>26</v>
      </c>
      <c r="V40" s="22">
        <v>3.2610000000000001</v>
      </c>
      <c r="Y40" s="27">
        <f t="shared" si="34"/>
        <v>-1.1818181818181728E-2</v>
      </c>
      <c r="Z40" s="27"/>
      <c r="AA40" s="38" t="s">
        <v>26</v>
      </c>
      <c r="AD40" s="22">
        <v>3.2989999999999999</v>
      </c>
      <c r="AG40" s="27">
        <f t="shared" si="35"/>
        <v>-3.0303030303026969E-4</v>
      </c>
      <c r="AH40" s="27"/>
      <c r="AI40" s="38" t="s">
        <v>26</v>
      </c>
      <c r="AL40" s="22">
        <v>3.2989999999999999</v>
      </c>
      <c r="AO40" s="27">
        <f t="shared" si="36"/>
        <v>-3.0303030303026969E-4</v>
      </c>
      <c r="AP40" s="27"/>
      <c r="AQ40" s="38" t="s">
        <v>26</v>
      </c>
    </row>
    <row r="41" spans="2:46" ht="28.8" x14ac:dyDescent="0.3">
      <c r="B41" s="10" t="s">
        <v>111</v>
      </c>
      <c r="C41" s="75"/>
      <c r="D41" s="8" t="s">
        <v>10</v>
      </c>
      <c r="E41" s="8" t="s">
        <v>64</v>
      </c>
      <c r="F41" s="8" t="s">
        <v>185</v>
      </c>
      <c r="G41" s="10" t="s">
        <v>184</v>
      </c>
      <c r="H41" s="38" t="s">
        <v>26</v>
      </c>
      <c r="J41" s="4" t="s">
        <v>187</v>
      </c>
      <c r="K41" s="4" t="s">
        <v>169</v>
      </c>
      <c r="L41" s="5">
        <v>1.7999999999999999E-2</v>
      </c>
      <c r="N41" s="22">
        <v>3.2570000000000001</v>
      </c>
      <c r="O41" s="22">
        <v>3.262</v>
      </c>
      <c r="Q41" s="27">
        <f>(O41-$N41)/$N41</f>
        <v>1.5351550506600838E-3</v>
      </c>
      <c r="R41" s="27"/>
      <c r="S41" s="38" t="s">
        <v>26</v>
      </c>
      <c r="V41" s="22">
        <v>3.2610000000000001</v>
      </c>
      <c r="W41" s="22">
        <v>3.2570000000000001</v>
      </c>
      <c r="Y41" s="27">
        <f>(W41-$V41)/$V41</f>
        <v>-1.2266176019625893E-3</v>
      </c>
      <c r="Z41" s="27"/>
      <c r="AA41" s="38" t="s">
        <v>26</v>
      </c>
      <c r="AD41" s="22">
        <v>3.2610000000000001</v>
      </c>
      <c r="AE41" s="22">
        <v>3.2959999999999998</v>
      </c>
      <c r="AG41" s="27">
        <f>(AE41-$V41)/$V41</f>
        <v>1.0732904017172553E-2</v>
      </c>
      <c r="AH41" s="27"/>
      <c r="AI41" s="38" t="s">
        <v>26</v>
      </c>
      <c r="AL41" s="22">
        <v>3.2610000000000001</v>
      </c>
      <c r="AM41" s="22">
        <v>3.2959999999999998</v>
      </c>
      <c r="AO41" s="27">
        <f>(AM41-$V41)/$V41</f>
        <v>1.0732904017172553E-2</v>
      </c>
      <c r="AP41" s="27"/>
      <c r="AQ41" s="38" t="s">
        <v>26</v>
      </c>
    </row>
    <row r="42" spans="2:46" ht="28.8" x14ac:dyDescent="0.3">
      <c r="B42" s="10" t="s">
        <v>112</v>
      </c>
      <c r="C42" s="75"/>
      <c r="D42" s="8" t="s">
        <v>10</v>
      </c>
      <c r="E42" s="8" t="s">
        <v>279</v>
      </c>
      <c r="F42" s="8" t="s">
        <v>230</v>
      </c>
      <c r="G42" s="8" t="s">
        <v>176</v>
      </c>
      <c r="H42" s="38" t="s">
        <v>26</v>
      </c>
      <c r="J42" s="4">
        <v>500</v>
      </c>
      <c r="K42" s="1" t="s">
        <v>181</v>
      </c>
      <c r="L42" s="5">
        <v>0.05</v>
      </c>
      <c r="N42" s="22">
        <v>497</v>
      </c>
      <c r="Q42" s="27">
        <f t="shared" ref="Q42" si="38">(N42-$J42)/$J42</f>
        <v>-6.0000000000000001E-3</v>
      </c>
      <c r="R42" s="27"/>
      <c r="S42" s="38" t="s">
        <v>26</v>
      </c>
      <c r="V42" s="22">
        <v>497</v>
      </c>
      <c r="Y42" s="27">
        <f t="shared" ref="Y42" si="39">(V42-$J42)/$J42</f>
        <v>-6.0000000000000001E-3</v>
      </c>
      <c r="Z42" s="27"/>
      <c r="AA42" s="38" t="s">
        <v>26</v>
      </c>
      <c r="AD42" s="22">
        <v>510</v>
      </c>
      <c r="AG42" s="27">
        <f t="shared" ref="AG42" si="40">(AD42-$J42)/$J42</f>
        <v>0.02</v>
      </c>
      <c r="AH42" s="27"/>
      <c r="AI42" s="38" t="s">
        <v>26</v>
      </c>
      <c r="AL42" s="22">
        <v>510</v>
      </c>
      <c r="AO42" s="27">
        <f t="shared" ref="AO42" si="41">(AL42-$J42)/$J42</f>
        <v>0.02</v>
      </c>
      <c r="AP42" s="27"/>
      <c r="AQ42" s="38" t="s">
        <v>26</v>
      </c>
    </row>
    <row r="43" spans="2:46" ht="31.8" customHeight="1" x14ac:dyDescent="0.3">
      <c r="B43" s="10" t="s">
        <v>113</v>
      </c>
      <c r="C43" s="75"/>
      <c r="D43" s="8" t="s">
        <v>10</v>
      </c>
      <c r="E43" s="8" t="s">
        <v>279</v>
      </c>
      <c r="F43" s="8" t="s">
        <v>231</v>
      </c>
      <c r="G43" s="8" t="s">
        <v>176</v>
      </c>
      <c r="H43" s="38" t="s">
        <v>26</v>
      </c>
      <c r="J43" s="4" t="s">
        <v>226</v>
      </c>
      <c r="K43" s="1" t="s">
        <v>181</v>
      </c>
      <c r="N43" s="22">
        <v>320</v>
      </c>
      <c r="R43" s="27"/>
      <c r="S43" s="38" t="s">
        <v>26</v>
      </c>
      <c r="V43" s="22">
        <v>360</v>
      </c>
      <c r="Z43" s="27"/>
      <c r="AA43" s="38" t="s">
        <v>26</v>
      </c>
      <c r="AD43" s="22">
        <v>340</v>
      </c>
      <c r="AH43" s="27"/>
      <c r="AI43" s="38" t="s">
        <v>26</v>
      </c>
      <c r="AL43" s="22">
        <v>340</v>
      </c>
      <c r="AP43" s="27"/>
      <c r="AQ43" s="38" t="s">
        <v>26</v>
      </c>
    </row>
    <row r="44" spans="2:46" ht="28.8" x14ac:dyDescent="0.3">
      <c r="B44" s="10" t="s">
        <v>114</v>
      </c>
      <c r="C44" s="75"/>
      <c r="D44" s="8" t="s">
        <v>10</v>
      </c>
      <c r="E44" s="8" t="s">
        <v>64</v>
      </c>
      <c r="F44" s="8" t="s">
        <v>281</v>
      </c>
      <c r="G44" s="10" t="s">
        <v>194</v>
      </c>
      <c r="H44" s="38" t="s">
        <v>26</v>
      </c>
      <c r="J44" s="4" t="s">
        <v>187</v>
      </c>
      <c r="K44" s="4" t="s">
        <v>181</v>
      </c>
      <c r="L44" s="5">
        <v>0.1</v>
      </c>
      <c r="N44" s="22">
        <v>300</v>
      </c>
      <c r="P44" s="22">
        <v>298</v>
      </c>
      <c r="Q44" s="27"/>
      <c r="R44" s="27">
        <f t="shared" ref="R44" si="42">(P44-$N44)/$N44</f>
        <v>-6.6666666666666671E-3</v>
      </c>
      <c r="S44" s="38" t="s">
        <v>26</v>
      </c>
      <c r="V44" s="22">
        <v>300</v>
      </c>
      <c r="X44" s="22">
        <v>303</v>
      </c>
      <c r="Y44" s="27"/>
      <c r="Z44" s="27">
        <f>(X44-$V44)/$V44</f>
        <v>0.01</v>
      </c>
      <c r="AA44" s="38" t="s">
        <v>26</v>
      </c>
      <c r="AD44" s="22">
        <v>300</v>
      </c>
      <c r="AE44" s="22">
        <v>295</v>
      </c>
      <c r="AG44" s="27">
        <f>(AE44-$V44)/$V44</f>
        <v>-1.6666666666666666E-2</v>
      </c>
      <c r="AH44" s="27"/>
      <c r="AI44" s="38" t="s">
        <v>26</v>
      </c>
      <c r="AL44" s="22">
        <v>300</v>
      </c>
      <c r="AM44" s="22">
        <v>295</v>
      </c>
      <c r="AO44" s="27">
        <f>(AM44-$V44)/$V44</f>
        <v>-1.6666666666666666E-2</v>
      </c>
      <c r="AP44" s="27"/>
      <c r="AQ44" s="38" t="s">
        <v>26</v>
      </c>
      <c r="AT44" s="12" t="s">
        <v>249</v>
      </c>
    </row>
    <row r="45" spans="2:46" ht="28.8" x14ac:dyDescent="0.3">
      <c r="B45" s="10" t="s">
        <v>115</v>
      </c>
      <c r="C45" s="75"/>
      <c r="D45" s="8" t="s">
        <v>280</v>
      </c>
      <c r="E45" s="8" t="s">
        <v>278</v>
      </c>
      <c r="F45" s="8" t="s">
        <v>220</v>
      </c>
      <c r="G45" s="8" t="s">
        <v>175</v>
      </c>
      <c r="H45" s="38" t="s">
        <v>26</v>
      </c>
      <c r="J45" s="4">
        <v>3.3</v>
      </c>
      <c r="K45" s="4" t="s">
        <v>169</v>
      </c>
      <c r="L45" s="5">
        <v>2.5000000000000001E-2</v>
      </c>
      <c r="N45" s="22">
        <v>3.2570000000000001</v>
      </c>
      <c r="Q45" s="27">
        <f t="shared" ref="Q45:Q46" si="43">(N45-$J45)/$J45</f>
        <v>-1.3030303030302942E-2</v>
      </c>
      <c r="R45" s="27"/>
      <c r="S45" s="38" t="s">
        <v>26</v>
      </c>
      <c r="V45" s="22">
        <v>3.2650000000000001</v>
      </c>
      <c r="Y45" s="27">
        <f t="shared" ref="Y45:Y46" si="44">(V45-$J45)/$J45</f>
        <v>-1.0606060606060515E-2</v>
      </c>
      <c r="Z45" s="27"/>
      <c r="AA45" s="38" t="s">
        <v>26</v>
      </c>
      <c r="AD45" s="22">
        <v>3.302</v>
      </c>
      <c r="AG45" s="27">
        <f t="shared" ref="AG45:AG46" si="45">(AD45-$J45)/$J45</f>
        <v>6.0606060606067393E-4</v>
      </c>
      <c r="AH45" s="27"/>
      <c r="AI45" s="38" t="s">
        <v>26</v>
      </c>
      <c r="AL45" s="22">
        <v>3.302</v>
      </c>
      <c r="AO45" s="27">
        <f t="shared" ref="AO45:AO46" si="46">(AL45-$J45)/$J45</f>
        <v>6.0606060606067393E-4</v>
      </c>
      <c r="AP45" s="27"/>
      <c r="AQ45" s="38" t="s">
        <v>26</v>
      </c>
    </row>
    <row r="46" spans="2:46" ht="28.8" x14ac:dyDescent="0.3">
      <c r="B46" s="10" t="s">
        <v>116</v>
      </c>
      <c r="C46" s="75"/>
      <c r="D46" s="8" t="s">
        <v>280</v>
      </c>
      <c r="E46" s="8" t="s">
        <v>282</v>
      </c>
      <c r="F46" s="8" t="s">
        <v>284</v>
      </c>
      <c r="G46" s="8" t="s">
        <v>180</v>
      </c>
      <c r="H46" s="38" t="s">
        <v>26</v>
      </c>
      <c r="J46" s="4">
        <v>1.8</v>
      </c>
      <c r="K46" s="4" t="s">
        <v>169</v>
      </c>
      <c r="L46" s="5">
        <v>2.5000000000000001E-2</v>
      </c>
      <c r="N46" s="22">
        <v>1.7909999999999999</v>
      </c>
      <c r="Q46" s="27">
        <f t="shared" si="43"/>
        <v>-5.000000000000066E-3</v>
      </c>
      <c r="R46" s="27"/>
      <c r="S46" s="38" t="s">
        <v>26</v>
      </c>
      <c r="V46" s="22">
        <v>1.8080000000000001</v>
      </c>
      <c r="Y46" s="27">
        <f t="shared" si="44"/>
        <v>4.4444444444444479E-3</v>
      </c>
      <c r="Z46" s="27"/>
      <c r="AA46" s="38" t="s">
        <v>26</v>
      </c>
      <c r="AD46" s="22">
        <v>1.792</v>
      </c>
      <c r="AG46" s="27">
        <f t="shared" si="45"/>
        <v>-4.4444444444444479E-3</v>
      </c>
      <c r="AH46" s="27"/>
      <c r="AI46" s="38" t="s">
        <v>26</v>
      </c>
      <c r="AL46" s="22">
        <v>1.792</v>
      </c>
      <c r="AO46" s="27">
        <f t="shared" si="46"/>
        <v>-4.4444444444444479E-3</v>
      </c>
      <c r="AP46" s="27"/>
      <c r="AQ46" s="38" t="s">
        <v>26</v>
      </c>
    </row>
    <row r="47" spans="2:46" ht="28.8" x14ac:dyDescent="0.3">
      <c r="B47" s="10" t="s">
        <v>294</v>
      </c>
      <c r="C47" s="75"/>
      <c r="D47" s="7" t="s">
        <v>22</v>
      </c>
      <c r="E47" s="8" t="s">
        <v>64</v>
      </c>
      <c r="F47" s="8" t="s">
        <v>189</v>
      </c>
      <c r="G47" s="10" t="s">
        <v>188</v>
      </c>
      <c r="H47" s="38" t="s">
        <v>26</v>
      </c>
      <c r="J47" s="4" t="s">
        <v>187</v>
      </c>
      <c r="K47" s="4" t="s">
        <v>169</v>
      </c>
      <c r="L47" s="5">
        <v>0.01</v>
      </c>
      <c r="N47" s="22">
        <v>1.7909999999999999</v>
      </c>
      <c r="O47" s="22">
        <v>1.792</v>
      </c>
      <c r="Q47" s="27">
        <f>(O47-$N47)/$N47</f>
        <v>5.5834729201569618E-4</v>
      </c>
      <c r="R47" s="27"/>
      <c r="S47" s="38" t="s">
        <v>26</v>
      </c>
      <c r="V47" s="22">
        <v>1.8080000000000001</v>
      </c>
      <c r="X47" s="22">
        <v>1.8080000000000001</v>
      </c>
      <c r="Y47" s="27"/>
      <c r="Z47" s="27">
        <f>(X47-$V47)/$V47</f>
        <v>0</v>
      </c>
      <c r="AA47" s="38" t="s">
        <v>26</v>
      </c>
      <c r="AD47" s="22">
        <v>1.792</v>
      </c>
      <c r="AE47" s="22">
        <v>1.7929999999999999</v>
      </c>
      <c r="AG47" s="27">
        <f>(AE47-$V47)/$V47</f>
        <v>-8.2964601769912188E-3</v>
      </c>
      <c r="AH47" s="27"/>
      <c r="AI47" s="38" t="s">
        <v>26</v>
      </c>
      <c r="AL47" s="22">
        <v>1.792</v>
      </c>
      <c r="AM47" s="22">
        <v>1.7929999999999999</v>
      </c>
      <c r="AO47" s="27">
        <f>(AM47-$V47)/$V47</f>
        <v>-8.2964601769912188E-3</v>
      </c>
      <c r="AP47" s="27"/>
      <c r="AQ47" s="38" t="s">
        <v>26</v>
      </c>
    </row>
    <row r="48" spans="2:46" ht="28.8" x14ac:dyDescent="0.3">
      <c r="B48" s="10" t="s">
        <v>295</v>
      </c>
      <c r="C48" s="75"/>
      <c r="D48" s="8" t="s">
        <v>70</v>
      </c>
      <c r="E48" s="8" t="s">
        <v>70</v>
      </c>
      <c r="F48" s="8" t="s">
        <v>283</v>
      </c>
      <c r="G48" s="8" t="s">
        <v>180</v>
      </c>
      <c r="H48" s="38" t="s">
        <v>26</v>
      </c>
      <c r="J48" s="4">
        <v>500</v>
      </c>
      <c r="K48" s="1" t="s">
        <v>181</v>
      </c>
      <c r="L48" s="5">
        <v>0.05</v>
      </c>
      <c r="N48" s="22">
        <v>480</v>
      </c>
      <c r="Q48" s="27">
        <f t="shared" ref="Q48" si="47">(N48-$J48)/$J48</f>
        <v>-0.04</v>
      </c>
      <c r="R48" s="27"/>
      <c r="S48" s="38" t="s">
        <v>26</v>
      </c>
      <c r="V48" s="22">
        <v>484</v>
      </c>
      <c r="Y48" s="27">
        <f t="shared" ref="Y48" si="48">(V48-$J48)/$J48</f>
        <v>-3.2000000000000001E-2</v>
      </c>
      <c r="Z48" s="27"/>
      <c r="AA48" s="38" t="s">
        <v>26</v>
      </c>
      <c r="AD48" s="22">
        <v>485</v>
      </c>
      <c r="AG48" s="27">
        <f t="shared" ref="AG48" si="49">(AD48-$J48)/$J48</f>
        <v>-0.03</v>
      </c>
      <c r="AH48" s="27"/>
      <c r="AI48" s="38" t="s">
        <v>26</v>
      </c>
      <c r="AL48" s="22">
        <v>485</v>
      </c>
      <c r="AO48" s="27">
        <f t="shared" ref="AO48" si="50">(AL48-$J48)/$J48</f>
        <v>-0.03</v>
      </c>
      <c r="AP48" s="27"/>
      <c r="AQ48" s="38" t="s">
        <v>26</v>
      </c>
    </row>
    <row r="49" spans="2:46" ht="30" customHeight="1" x14ac:dyDescent="0.3">
      <c r="B49" s="10" t="s">
        <v>296</v>
      </c>
      <c r="C49" s="75"/>
      <c r="D49" s="8" t="s">
        <v>70</v>
      </c>
      <c r="E49" s="8" t="s">
        <v>70</v>
      </c>
      <c r="F49" s="8" t="s">
        <v>234</v>
      </c>
      <c r="G49" s="8" t="s">
        <v>180</v>
      </c>
      <c r="H49" s="38" t="s">
        <v>26</v>
      </c>
      <c r="J49" s="4" t="s">
        <v>226</v>
      </c>
      <c r="K49" s="1" t="s">
        <v>181</v>
      </c>
      <c r="N49" s="22">
        <v>330</v>
      </c>
      <c r="R49" s="27"/>
      <c r="S49" s="38" t="s">
        <v>26</v>
      </c>
      <c r="V49" s="22">
        <v>420</v>
      </c>
      <c r="Z49" s="27"/>
      <c r="AA49" s="38" t="s">
        <v>26</v>
      </c>
      <c r="AD49" s="22">
        <v>460</v>
      </c>
      <c r="AH49" s="27"/>
      <c r="AI49" s="38" t="s">
        <v>26</v>
      </c>
      <c r="AL49" s="22">
        <v>460</v>
      </c>
      <c r="AP49" s="27"/>
      <c r="AQ49" s="38" t="s">
        <v>26</v>
      </c>
    </row>
    <row r="50" spans="2:46" ht="28.8" x14ac:dyDescent="0.3">
      <c r="B50" s="10" t="s">
        <v>297</v>
      </c>
      <c r="C50" s="75"/>
      <c r="D50" s="7" t="s">
        <v>22</v>
      </c>
      <c r="E50" s="8" t="s">
        <v>64</v>
      </c>
      <c r="F50" s="8" t="s">
        <v>196</v>
      </c>
      <c r="G50" s="10" t="s">
        <v>195</v>
      </c>
      <c r="H50" s="38" t="s">
        <v>26</v>
      </c>
      <c r="J50" s="4" t="s">
        <v>187</v>
      </c>
      <c r="K50" s="4" t="s">
        <v>181</v>
      </c>
      <c r="L50" s="5">
        <v>0.1</v>
      </c>
      <c r="N50" s="22">
        <v>300</v>
      </c>
      <c r="P50" s="22">
        <v>305</v>
      </c>
      <c r="Q50" s="27"/>
      <c r="R50" s="27">
        <f t="shared" ref="R50" si="51">(P50-$N50)/$N50</f>
        <v>1.6666666666666666E-2</v>
      </c>
      <c r="S50" s="38" t="s">
        <v>26</v>
      </c>
      <c r="V50" s="22">
        <v>300</v>
      </c>
      <c r="X50" s="22">
        <v>302</v>
      </c>
      <c r="Y50" s="27"/>
      <c r="Z50" s="27">
        <f>(X50-$V50)/$V50</f>
        <v>6.6666666666666671E-3</v>
      </c>
      <c r="AA50" s="38" t="s">
        <v>26</v>
      </c>
      <c r="AD50" s="22">
        <v>300</v>
      </c>
      <c r="AF50" s="22">
        <v>316</v>
      </c>
      <c r="AG50" s="27"/>
      <c r="AH50" s="27">
        <f>(AF50-$V50)/$V50</f>
        <v>5.3333333333333337E-2</v>
      </c>
      <c r="AI50" s="38" t="s">
        <v>26</v>
      </c>
      <c r="AL50" s="22">
        <v>300</v>
      </c>
      <c r="AN50" s="22">
        <v>316</v>
      </c>
      <c r="AO50" s="27"/>
      <c r="AP50" s="27">
        <f>(AN50-$V50)/$V50</f>
        <v>5.3333333333333337E-2</v>
      </c>
      <c r="AQ50" s="38" t="s">
        <v>26</v>
      </c>
      <c r="AT50" s="12" t="s">
        <v>249</v>
      </c>
    </row>
    <row r="51" spans="2:46" x14ac:dyDescent="0.3">
      <c r="B51" s="10" t="s">
        <v>298</v>
      </c>
      <c r="C51" s="75"/>
      <c r="D51" s="8" t="s">
        <v>28</v>
      </c>
      <c r="E51" s="8" t="s">
        <v>29</v>
      </c>
      <c r="F51" s="8" t="s">
        <v>97</v>
      </c>
      <c r="G51" s="8" t="s">
        <v>15</v>
      </c>
      <c r="H51" s="38" t="s">
        <v>26</v>
      </c>
      <c r="J51" s="4">
        <v>2.5</v>
      </c>
      <c r="K51" s="4" t="s">
        <v>169</v>
      </c>
      <c r="L51" s="5">
        <v>1.4E-3</v>
      </c>
      <c r="N51" s="22">
        <v>2.5</v>
      </c>
      <c r="Q51" s="27">
        <f t="shared" ref="Q51" si="52">(N51-$J51)/$J51</f>
        <v>0</v>
      </c>
      <c r="R51" s="27"/>
      <c r="S51" s="38" t="s">
        <v>26</v>
      </c>
      <c r="V51" s="22">
        <v>2.5</v>
      </c>
      <c r="Y51" s="27">
        <f t="shared" ref="Y51:Y68" si="53">(V51-$J51)/$J51</f>
        <v>0</v>
      </c>
      <c r="Z51" s="27"/>
      <c r="AA51" s="38" t="s">
        <v>26</v>
      </c>
      <c r="AD51" s="22">
        <v>2.5</v>
      </c>
      <c r="AG51" s="27">
        <f t="shared" ref="AG51:AG55" si="54">(AD51-$J51)/$J51</f>
        <v>0</v>
      </c>
      <c r="AH51" s="27"/>
      <c r="AI51" s="38" t="s">
        <v>26</v>
      </c>
      <c r="AL51" s="22">
        <v>2.5</v>
      </c>
      <c r="AO51" s="27">
        <f t="shared" ref="AO51:AO55" si="55">(AL51-$J51)/$J51</f>
        <v>0</v>
      </c>
      <c r="AP51" s="27"/>
      <c r="AQ51" s="38" t="s">
        <v>26</v>
      </c>
    </row>
    <row r="52" spans="2:46" x14ac:dyDescent="0.3">
      <c r="B52" s="10" t="s">
        <v>299</v>
      </c>
      <c r="C52" s="75"/>
      <c r="D52" s="7" t="s">
        <v>98</v>
      </c>
      <c r="E52" s="8" t="s">
        <v>72</v>
      </c>
      <c r="F52" s="8" t="s">
        <v>99</v>
      </c>
      <c r="G52" s="8" t="s">
        <v>100</v>
      </c>
      <c r="H52" s="38" t="s">
        <v>26</v>
      </c>
      <c r="J52" s="4" t="s">
        <v>226</v>
      </c>
      <c r="K52" s="4" t="s">
        <v>169</v>
      </c>
      <c r="N52" s="22">
        <v>3.3359999999999999</v>
      </c>
      <c r="Q52" s="27" t="e">
        <f t="shared" si="0"/>
        <v>#VALUE!</v>
      </c>
      <c r="R52" s="27"/>
      <c r="S52" s="38" t="s">
        <v>26</v>
      </c>
      <c r="V52" s="22">
        <v>3.335</v>
      </c>
      <c r="Y52" s="27" t="e">
        <f t="shared" si="53"/>
        <v>#VALUE!</v>
      </c>
      <c r="Z52" s="27"/>
      <c r="AA52" s="38" t="s">
        <v>26</v>
      </c>
      <c r="AD52" s="22">
        <v>3.2450000000000001</v>
      </c>
      <c r="AG52" s="27" t="e">
        <f t="shared" si="54"/>
        <v>#VALUE!</v>
      </c>
      <c r="AH52" s="27"/>
      <c r="AI52" s="38" t="s">
        <v>26</v>
      </c>
      <c r="AL52" s="22">
        <v>3.2450000000000001</v>
      </c>
      <c r="AO52" s="27" t="e">
        <f t="shared" si="55"/>
        <v>#VALUE!</v>
      </c>
      <c r="AP52" s="27"/>
      <c r="AQ52" s="38" t="s">
        <v>26</v>
      </c>
      <c r="AT52" s="8"/>
    </row>
    <row r="53" spans="2:46" x14ac:dyDescent="0.3">
      <c r="B53" s="10" t="s">
        <v>300</v>
      </c>
      <c r="C53" s="75"/>
      <c r="D53" s="7" t="s">
        <v>98</v>
      </c>
      <c r="E53" s="8" t="s">
        <v>72</v>
      </c>
      <c r="F53" s="8" t="s">
        <v>102</v>
      </c>
      <c r="G53" s="8" t="s">
        <v>101</v>
      </c>
      <c r="H53" s="38" t="s">
        <v>26</v>
      </c>
      <c r="J53" s="4" t="s">
        <v>226</v>
      </c>
      <c r="K53" s="4" t="s">
        <v>169</v>
      </c>
      <c r="N53" s="22">
        <v>5.6269999999999998</v>
      </c>
      <c r="Q53" s="27" t="e">
        <f t="shared" si="0"/>
        <v>#VALUE!</v>
      </c>
      <c r="R53" s="27"/>
      <c r="S53" s="38" t="s">
        <v>26</v>
      </c>
      <c r="V53" s="22">
        <v>5.6929999999999996</v>
      </c>
      <c r="Y53" s="27" t="e">
        <f t="shared" si="53"/>
        <v>#VALUE!</v>
      </c>
      <c r="Z53" s="27"/>
      <c r="AA53" s="38" t="s">
        <v>26</v>
      </c>
      <c r="AD53" s="22">
        <v>5.5229999999999997</v>
      </c>
      <c r="AG53" s="27" t="e">
        <f t="shared" si="54"/>
        <v>#VALUE!</v>
      </c>
      <c r="AH53" s="27"/>
      <c r="AI53" s="38" t="s">
        <v>26</v>
      </c>
      <c r="AL53" s="22">
        <v>5.5229999999999997</v>
      </c>
      <c r="AO53" s="27" t="e">
        <f t="shared" si="55"/>
        <v>#VALUE!</v>
      </c>
      <c r="AP53" s="27"/>
      <c r="AQ53" s="38" t="s">
        <v>26</v>
      </c>
      <c r="AT53" s="8"/>
    </row>
    <row r="54" spans="2:46" x14ac:dyDescent="0.3">
      <c r="B54" s="10" t="s">
        <v>301</v>
      </c>
      <c r="C54" s="75"/>
      <c r="D54" s="7" t="s">
        <v>98</v>
      </c>
      <c r="E54" s="8" t="s">
        <v>72</v>
      </c>
      <c r="F54" s="8" t="s">
        <v>103</v>
      </c>
      <c r="G54" s="8" t="s">
        <v>74</v>
      </c>
      <c r="H54" s="38" t="s">
        <v>26</v>
      </c>
      <c r="J54" s="4" t="s">
        <v>226</v>
      </c>
      <c r="K54" s="4" t="s">
        <v>169</v>
      </c>
      <c r="N54" s="22">
        <v>6.048</v>
      </c>
      <c r="Q54" s="27" t="e">
        <f t="shared" si="0"/>
        <v>#VALUE!</v>
      </c>
      <c r="R54" s="27"/>
      <c r="S54" s="38" t="s">
        <v>26</v>
      </c>
      <c r="V54" s="22">
        <v>6.0789999999999997</v>
      </c>
      <c r="Y54" s="27" t="e">
        <f t="shared" si="53"/>
        <v>#VALUE!</v>
      </c>
      <c r="Z54" s="27"/>
      <c r="AA54" s="38" t="s">
        <v>26</v>
      </c>
      <c r="AD54" s="22">
        <v>5.8440000000000003</v>
      </c>
      <c r="AG54" s="27" t="e">
        <f t="shared" si="54"/>
        <v>#VALUE!</v>
      </c>
      <c r="AH54" s="27"/>
      <c r="AI54" s="38" t="s">
        <v>26</v>
      </c>
      <c r="AL54" s="22">
        <v>5.8440000000000003</v>
      </c>
      <c r="AO54" s="27" t="e">
        <f t="shared" si="55"/>
        <v>#VALUE!</v>
      </c>
      <c r="AP54" s="27"/>
      <c r="AQ54" s="38" t="s">
        <v>26</v>
      </c>
      <c r="AT54" s="8"/>
    </row>
    <row r="55" spans="2:46" x14ac:dyDescent="0.3">
      <c r="B55" s="10" t="s">
        <v>302</v>
      </c>
      <c r="C55" s="75"/>
      <c r="D55" s="7" t="s">
        <v>98</v>
      </c>
      <c r="E55" s="8" t="s">
        <v>72</v>
      </c>
      <c r="F55" s="8" t="s">
        <v>104</v>
      </c>
      <c r="G55" s="8" t="s">
        <v>73</v>
      </c>
      <c r="H55" s="38" t="s">
        <v>26</v>
      </c>
      <c r="J55" s="4" t="s">
        <v>226</v>
      </c>
      <c r="K55" s="4" t="s">
        <v>169</v>
      </c>
      <c r="N55" s="22">
        <v>-5.5270000000000001</v>
      </c>
      <c r="Q55" s="27" t="e">
        <f t="shared" si="0"/>
        <v>#VALUE!</v>
      </c>
      <c r="R55" s="27"/>
      <c r="S55" s="38" t="s">
        <v>26</v>
      </c>
      <c r="V55" s="22">
        <v>-5.601</v>
      </c>
      <c r="Y55" s="27" t="e">
        <f t="shared" si="53"/>
        <v>#VALUE!</v>
      </c>
      <c r="Z55" s="27"/>
      <c r="AA55" s="38" t="s">
        <v>26</v>
      </c>
      <c r="AD55" s="22">
        <v>-5.4729999999999999</v>
      </c>
      <c r="AG55" s="27" t="e">
        <f t="shared" si="54"/>
        <v>#VALUE!</v>
      </c>
      <c r="AH55" s="27"/>
      <c r="AI55" s="38" t="s">
        <v>26</v>
      </c>
      <c r="AL55" s="22">
        <v>-5.4729999999999999</v>
      </c>
      <c r="AO55" s="27" t="e">
        <f t="shared" si="55"/>
        <v>#VALUE!</v>
      </c>
      <c r="AP55" s="27"/>
      <c r="AQ55" s="38" t="s">
        <v>26</v>
      </c>
      <c r="AT55" s="8"/>
    </row>
    <row r="56" spans="2:46" ht="28.8" x14ac:dyDescent="0.3">
      <c r="B56" s="10" t="s">
        <v>303</v>
      </c>
      <c r="C56" s="75"/>
      <c r="D56" s="8" t="s">
        <v>79</v>
      </c>
      <c r="E56" s="8" t="s">
        <v>79</v>
      </c>
      <c r="F56" s="8" t="s">
        <v>105</v>
      </c>
      <c r="G56" s="8" t="s">
        <v>80</v>
      </c>
      <c r="H56" s="38" t="s">
        <v>26</v>
      </c>
      <c r="K56" s="5"/>
      <c r="Q56" s="27"/>
      <c r="R56" s="27"/>
      <c r="S56" s="38" t="s">
        <v>26</v>
      </c>
      <c r="Y56" s="27"/>
      <c r="Z56" s="27"/>
      <c r="AA56" s="38" t="s">
        <v>26</v>
      </c>
      <c r="AG56" s="27"/>
      <c r="AH56" s="27"/>
      <c r="AI56" s="38" t="s">
        <v>26</v>
      </c>
      <c r="AO56" s="27"/>
      <c r="AP56" s="27"/>
      <c r="AQ56" s="38" t="s">
        <v>26</v>
      </c>
      <c r="AT56" s="8"/>
    </row>
    <row r="57" spans="2:46" ht="28.8" x14ac:dyDescent="0.3">
      <c r="B57" s="10" t="s">
        <v>304</v>
      </c>
      <c r="C57" s="75"/>
      <c r="D57" s="7" t="s">
        <v>85</v>
      </c>
      <c r="E57" s="8" t="s">
        <v>106</v>
      </c>
      <c r="F57" s="8" t="s">
        <v>154</v>
      </c>
      <c r="G57" s="10" t="s">
        <v>81</v>
      </c>
      <c r="H57" s="38" t="s">
        <v>26</v>
      </c>
      <c r="J57" s="4">
        <f t="shared" ref="J57:J60" si="56">5/2200*1000</f>
        <v>2.2727272727272725</v>
      </c>
      <c r="K57" s="5" t="s">
        <v>181</v>
      </c>
      <c r="L57" s="5">
        <v>2.3E-2</v>
      </c>
      <c r="N57" s="22">
        <v>2.2749999999999999</v>
      </c>
      <c r="Q57" s="27">
        <f t="shared" si="0"/>
        <v>1.0000000000000677E-3</v>
      </c>
      <c r="R57" s="27"/>
      <c r="S57" s="38" t="s">
        <v>26</v>
      </c>
      <c r="T57" s="23">
        <f t="shared" ref="T57:T68" si="57">5/N57*1000</f>
        <v>2197.802197802198</v>
      </c>
      <c r="V57" s="22">
        <v>2.2709999999999999</v>
      </c>
      <c r="Y57" s="27">
        <f t="shared" si="53"/>
        <v>-7.5999999999993412E-4</v>
      </c>
      <c r="Z57" s="27"/>
      <c r="AA57" s="38" t="s">
        <v>26</v>
      </c>
      <c r="AB57" s="23">
        <f t="shared" ref="AB57:AB68" si="58">5/V57*1000</f>
        <v>2201.6732716864817</v>
      </c>
      <c r="AD57" s="22">
        <v>2.3109999999999999</v>
      </c>
      <c r="AG57" s="27">
        <f t="shared" ref="AG57:AG68" si="59">(AD57-$J57)/$J57</f>
        <v>1.6840000000000084E-2</v>
      </c>
      <c r="AH57" s="27"/>
      <c r="AI57" s="38" t="s">
        <v>26</v>
      </c>
      <c r="AJ57" s="23">
        <f t="shared" ref="AJ57:AJ68" si="60">5/AD57*1000</f>
        <v>2163.565556036348</v>
      </c>
      <c r="AL57" s="22">
        <v>2.3109999999999999</v>
      </c>
      <c r="AO57" s="27">
        <f t="shared" ref="AO57:AO68" si="61">(AL57-$J57)/$J57</f>
        <v>1.6840000000000084E-2</v>
      </c>
      <c r="AP57" s="27"/>
      <c r="AQ57" s="38" t="s">
        <v>26</v>
      </c>
      <c r="AR57" s="23">
        <f t="shared" ref="AR57:AR68" si="62">5/AL57*1000</f>
        <v>2163.565556036348</v>
      </c>
      <c r="AT57" s="8"/>
    </row>
    <row r="58" spans="2:46" ht="28.8" x14ac:dyDescent="0.3">
      <c r="B58" s="10" t="s">
        <v>305</v>
      </c>
      <c r="C58" s="75"/>
      <c r="D58" s="7" t="s">
        <v>85</v>
      </c>
      <c r="E58" s="8" t="s">
        <v>106</v>
      </c>
      <c r="F58" s="8" t="s">
        <v>153</v>
      </c>
      <c r="G58" s="10" t="s">
        <v>82</v>
      </c>
      <c r="H58" s="38" t="s">
        <v>26</v>
      </c>
      <c r="J58" s="4">
        <f t="shared" si="56"/>
        <v>2.2727272727272725</v>
      </c>
      <c r="K58" s="5" t="s">
        <v>181</v>
      </c>
      <c r="L58" s="5">
        <v>2.3E-2</v>
      </c>
      <c r="N58" s="22">
        <v>2.2829999999999999</v>
      </c>
      <c r="Q58" s="27">
        <f t="shared" si="0"/>
        <v>4.5200000000000708E-3</v>
      </c>
      <c r="R58" s="27"/>
      <c r="S58" s="38" t="s">
        <v>26</v>
      </c>
      <c r="T58" s="23">
        <f t="shared" si="57"/>
        <v>2190.1007446342533</v>
      </c>
      <c r="V58" s="22">
        <v>2.278</v>
      </c>
      <c r="Y58" s="27">
        <f t="shared" si="53"/>
        <v>2.320000000000118E-3</v>
      </c>
      <c r="Z58" s="27"/>
      <c r="AA58" s="38" t="s">
        <v>26</v>
      </c>
      <c r="AB58" s="23">
        <f t="shared" si="58"/>
        <v>2194.9078138718173</v>
      </c>
      <c r="AD58" s="22">
        <v>2.2999999999999998</v>
      </c>
      <c r="AG58" s="27">
        <f t="shared" si="59"/>
        <v>1.200000000000003E-2</v>
      </c>
      <c r="AH58" s="27"/>
      <c r="AI58" s="38" t="s">
        <v>26</v>
      </c>
      <c r="AJ58" s="23">
        <f t="shared" si="60"/>
        <v>2173.913043478261</v>
      </c>
      <c r="AL58" s="22">
        <v>2.2999999999999998</v>
      </c>
      <c r="AO58" s="27">
        <f t="shared" si="61"/>
        <v>1.200000000000003E-2</v>
      </c>
      <c r="AP58" s="27"/>
      <c r="AQ58" s="38" t="s">
        <v>26</v>
      </c>
      <c r="AR58" s="23">
        <f t="shared" si="62"/>
        <v>2173.913043478261</v>
      </c>
      <c r="AT58" s="8"/>
    </row>
    <row r="59" spans="2:46" ht="28.8" x14ac:dyDescent="0.3">
      <c r="B59" s="10" t="s">
        <v>306</v>
      </c>
      <c r="C59" s="75"/>
      <c r="D59" s="7" t="s">
        <v>85</v>
      </c>
      <c r="E59" s="8" t="s">
        <v>106</v>
      </c>
      <c r="F59" s="8" t="s">
        <v>147</v>
      </c>
      <c r="G59" s="10" t="s">
        <v>83</v>
      </c>
      <c r="H59" s="38" t="s">
        <v>26</v>
      </c>
      <c r="J59" s="4">
        <f t="shared" si="56"/>
        <v>2.2727272727272725</v>
      </c>
      <c r="K59" s="5" t="s">
        <v>181</v>
      </c>
      <c r="L59" s="5">
        <v>2.3E-2</v>
      </c>
      <c r="N59" s="22">
        <v>2.278</v>
      </c>
      <c r="Q59" s="27">
        <f t="shared" si="0"/>
        <v>2.320000000000118E-3</v>
      </c>
      <c r="R59" s="27"/>
      <c r="S59" s="38" t="s">
        <v>26</v>
      </c>
      <c r="T59" s="23">
        <f t="shared" si="57"/>
        <v>2194.9078138718173</v>
      </c>
      <c r="V59" s="22">
        <v>2.274</v>
      </c>
      <c r="Y59" s="27">
        <f t="shared" si="53"/>
        <v>5.6000000000011607E-4</v>
      </c>
      <c r="Z59" s="27"/>
      <c r="AA59" s="38" t="s">
        <v>26</v>
      </c>
      <c r="AB59" s="23">
        <f t="shared" si="58"/>
        <v>2198.7686895338611</v>
      </c>
      <c r="AD59" s="22">
        <v>2.2949999999999999</v>
      </c>
      <c r="AG59" s="27">
        <f t="shared" si="59"/>
        <v>9.800000000000076E-3</v>
      </c>
      <c r="AH59" s="27"/>
      <c r="AI59" s="38" t="s">
        <v>26</v>
      </c>
      <c r="AJ59" s="23">
        <f t="shared" si="60"/>
        <v>2178.6492374727668</v>
      </c>
      <c r="AL59" s="22">
        <v>2.2949999999999999</v>
      </c>
      <c r="AO59" s="27">
        <f t="shared" si="61"/>
        <v>9.800000000000076E-3</v>
      </c>
      <c r="AP59" s="27"/>
      <c r="AQ59" s="38" t="s">
        <v>26</v>
      </c>
      <c r="AR59" s="23">
        <f t="shared" si="62"/>
        <v>2178.6492374727668</v>
      </c>
      <c r="AT59" s="8"/>
    </row>
    <row r="60" spans="2:46" ht="28.8" x14ac:dyDescent="0.3">
      <c r="B60" s="10" t="s">
        <v>307</v>
      </c>
      <c r="C60" s="75"/>
      <c r="D60" s="7" t="s">
        <v>85</v>
      </c>
      <c r="E60" s="8" t="s">
        <v>106</v>
      </c>
      <c r="F60" s="8" t="s">
        <v>148</v>
      </c>
      <c r="G60" s="10" t="s">
        <v>84</v>
      </c>
      <c r="H60" s="38" t="s">
        <v>26</v>
      </c>
      <c r="J60" s="4">
        <f t="shared" si="56"/>
        <v>2.2727272727272725</v>
      </c>
      <c r="K60" s="5" t="s">
        <v>181</v>
      </c>
      <c r="L60" s="5">
        <v>2.3E-2</v>
      </c>
      <c r="N60" s="22">
        <v>2.2789999999999999</v>
      </c>
      <c r="Q60" s="27">
        <f t="shared" si="0"/>
        <v>2.7600000000000693E-3</v>
      </c>
      <c r="R60" s="27"/>
      <c r="S60" s="38" t="s">
        <v>26</v>
      </c>
      <c r="T60" s="23">
        <f t="shared" si="57"/>
        <v>2193.9447125932429</v>
      </c>
      <c r="V60" s="22">
        <v>2.2730000000000001</v>
      </c>
      <c r="Y60" s="27">
        <f t="shared" si="53"/>
        <v>1.2000000000016444E-4</v>
      </c>
      <c r="Z60" s="27"/>
      <c r="AA60" s="38" t="s">
        <v>26</v>
      </c>
      <c r="AB60" s="23">
        <f t="shared" si="58"/>
        <v>2199.7360316761988</v>
      </c>
      <c r="AD60" s="22">
        <v>2.2999999999999998</v>
      </c>
      <c r="AG60" s="27">
        <f t="shared" si="59"/>
        <v>1.200000000000003E-2</v>
      </c>
      <c r="AH60" s="27"/>
      <c r="AI60" s="38" t="s">
        <v>26</v>
      </c>
      <c r="AJ60" s="23">
        <f t="shared" si="60"/>
        <v>2173.913043478261</v>
      </c>
      <c r="AL60" s="22">
        <v>2.2999999999999998</v>
      </c>
      <c r="AO60" s="27">
        <f t="shared" si="61"/>
        <v>1.200000000000003E-2</v>
      </c>
      <c r="AP60" s="27"/>
      <c r="AQ60" s="38" t="s">
        <v>26</v>
      </c>
      <c r="AR60" s="23">
        <f t="shared" si="62"/>
        <v>2173.913043478261</v>
      </c>
      <c r="AT60" s="8"/>
    </row>
    <row r="61" spans="2:46" ht="28.8" x14ac:dyDescent="0.3">
      <c r="B61" s="10" t="s">
        <v>308</v>
      </c>
      <c r="C61" s="75"/>
      <c r="D61" s="7" t="s">
        <v>85</v>
      </c>
      <c r="E61" s="8" t="s">
        <v>107</v>
      </c>
      <c r="F61" s="8" t="s">
        <v>150</v>
      </c>
      <c r="G61" s="10" t="s">
        <v>81</v>
      </c>
      <c r="H61" s="38" t="s">
        <v>26</v>
      </c>
      <c r="J61" s="4">
        <f>5/680*1000</f>
        <v>7.3529411764705879</v>
      </c>
      <c r="K61" s="5" t="s">
        <v>181</v>
      </c>
      <c r="L61" s="5">
        <v>5.3999999999999999E-2</v>
      </c>
      <c r="N61" s="22">
        <v>7.0750000000000002</v>
      </c>
      <c r="Q61" s="27">
        <f t="shared" si="0"/>
        <v>-3.7799999999999931E-2</v>
      </c>
      <c r="R61" s="27"/>
      <c r="S61" s="38" t="s">
        <v>26</v>
      </c>
      <c r="T61" s="23">
        <f t="shared" si="57"/>
        <v>706.71378091872793</v>
      </c>
      <c r="V61" s="22">
        <v>7.069</v>
      </c>
      <c r="Y61" s="27">
        <f t="shared" si="53"/>
        <v>-3.8615999999999956E-2</v>
      </c>
      <c r="Z61" s="27"/>
      <c r="AA61" s="38" t="s">
        <v>26</v>
      </c>
      <c r="AB61" s="23">
        <f t="shared" si="58"/>
        <v>707.3136228603762</v>
      </c>
      <c r="AD61" s="22">
        <v>7.1440000000000001</v>
      </c>
      <c r="AG61" s="27">
        <f t="shared" si="59"/>
        <v>-2.8415999999999934E-2</v>
      </c>
      <c r="AH61" s="27"/>
      <c r="AI61" s="38" t="s">
        <v>26</v>
      </c>
      <c r="AJ61" s="23">
        <f t="shared" si="60"/>
        <v>699.88801791713331</v>
      </c>
      <c r="AL61" s="22">
        <v>7.1440000000000001</v>
      </c>
      <c r="AO61" s="27">
        <f t="shared" si="61"/>
        <v>-2.8415999999999934E-2</v>
      </c>
      <c r="AP61" s="27"/>
      <c r="AQ61" s="38" t="s">
        <v>26</v>
      </c>
      <c r="AR61" s="23">
        <f t="shared" si="62"/>
        <v>699.88801791713331</v>
      </c>
      <c r="AT61" s="8"/>
    </row>
    <row r="62" spans="2:46" ht="28.8" x14ac:dyDescent="0.3">
      <c r="B62" s="10" t="s">
        <v>309</v>
      </c>
      <c r="C62" s="75"/>
      <c r="D62" s="7" t="s">
        <v>85</v>
      </c>
      <c r="E62" s="8" t="s">
        <v>107</v>
      </c>
      <c r="F62" s="8" t="s">
        <v>149</v>
      </c>
      <c r="G62" s="10" t="s">
        <v>82</v>
      </c>
      <c r="H62" s="38" t="s">
        <v>26</v>
      </c>
      <c r="J62" s="4">
        <f>5/680*1000</f>
        <v>7.3529411764705879</v>
      </c>
      <c r="K62" s="5" t="s">
        <v>181</v>
      </c>
      <c r="L62" s="5">
        <v>5.3999999999999999E-2</v>
      </c>
      <c r="N62" s="22">
        <v>7.0910000000000002</v>
      </c>
      <c r="Q62" s="27">
        <f t="shared" si="0"/>
        <v>-3.5623999999999927E-2</v>
      </c>
      <c r="R62" s="27"/>
      <c r="S62" s="38" t="s">
        <v>26</v>
      </c>
      <c r="T62" s="23">
        <f t="shared" si="57"/>
        <v>705.11916513890844</v>
      </c>
      <c r="V62" s="22">
        <v>7.0540000000000003</v>
      </c>
      <c r="Y62" s="27">
        <f t="shared" si="53"/>
        <v>-4.0655999999999914E-2</v>
      </c>
      <c r="Z62" s="27"/>
      <c r="AA62" s="38" t="s">
        <v>26</v>
      </c>
      <c r="AB62" s="23">
        <f t="shared" si="58"/>
        <v>708.81769208959452</v>
      </c>
      <c r="AD62" s="22">
        <v>7.117</v>
      </c>
      <c r="AG62" s="27">
        <f t="shared" si="59"/>
        <v>-3.208799999999995E-2</v>
      </c>
      <c r="AH62" s="27"/>
      <c r="AI62" s="38" t="s">
        <v>26</v>
      </c>
      <c r="AJ62" s="23">
        <f t="shared" si="60"/>
        <v>702.54320640719402</v>
      </c>
      <c r="AL62" s="22">
        <v>7.117</v>
      </c>
      <c r="AO62" s="27">
        <f t="shared" si="61"/>
        <v>-3.208799999999995E-2</v>
      </c>
      <c r="AP62" s="27"/>
      <c r="AQ62" s="38" t="s">
        <v>26</v>
      </c>
      <c r="AR62" s="23">
        <f t="shared" si="62"/>
        <v>702.54320640719402</v>
      </c>
      <c r="AT62" s="8"/>
    </row>
    <row r="63" spans="2:46" ht="28.8" x14ac:dyDescent="0.3">
      <c r="B63" s="10" t="s">
        <v>310</v>
      </c>
      <c r="C63" s="75"/>
      <c r="D63" s="7" t="s">
        <v>85</v>
      </c>
      <c r="E63" s="8" t="s">
        <v>107</v>
      </c>
      <c r="F63" s="8" t="s">
        <v>152</v>
      </c>
      <c r="G63" s="10" t="s">
        <v>83</v>
      </c>
      <c r="H63" s="38" t="s">
        <v>26</v>
      </c>
      <c r="J63" s="4">
        <f>5/680*1000</f>
        <v>7.3529411764705879</v>
      </c>
      <c r="K63" s="5" t="s">
        <v>181</v>
      </c>
      <c r="L63" s="5">
        <v>5.3999999999999999E-2</v>
      </c>
      <c r="N63" s="22">
        <v>7.0759999999999996</v>
      </c>
      <c r="Q63" s="27">
        <f t="shared" si="0"/>
        <v>-3.7664000000000003E-2</v>
      </c>
      <c r="R63" s="27"/>
      <c r="S63" s="38" t="s">
        <v>26</v>
      </c>
      <c r="T63" s="23">
        <f t="shared" si="57"/>
        <v>706.6139061616733</v>
      </c>
      <c r="V63" s="22">
        <v>7.0990000000000002</v>
      </c>
      <c r="Y63" s="27">
        <f t="shared" si="53"/>
        <v>-3.4535999999999928E-2</v>
      </c>
      <c r="Z63" s="27"/>
      <c r="AA63" s="38" t="s">
        <v>26</v>
      </c>
      <c r="AB63" s="23">
        <f t="shared" si="58"/>
        <v>704.32455275390896</v>
      </c>
      <c r="AD63" s="22">
        <v>7.1109999999999998</v>
      </c>
      <c r="AG63" s="27">
        <f t="shared" si="59"/>
        <v>-3.2903999999999982E-2</v>
      </c>
      <c r="AH63" s="27"/>
      <c r="AI63" s="38" t="s">
        <v>26</v>
      </c>
      <c r="AJ63" s="23">
        <f t="shared" si="60"/>
        <v>703.13598649978906</v>
      </c>
      <c r="AL63" s="22">
        <v>7.1109999999999998</v>
      </c>
      <c r="AO63" s="27">
        <f t="shared" si="61"/>
        <v>-3.2903999999999982E-2</v>
      </c>
      <c r="AP63" s="27"/>
      <c r="AQ63" s="38" t="s">
        <v>26</v>
      </c>
      <c r="AR63" s="23">
        <f t="shared" si="62"/>
        <v>703.13598649978906</v>
      </c>
      <c r="AT63" s="8"/>
    </row>
    <row r="64" spans="2:46" ht="28.8" x14ac:dyDescent="0.3">
      <c r="B64" s="10" t="s">
        <v>311</v>
      </c>
      <c r="C64" s="75"/>
      <c r="D64" s="7" t="s">
        <v>85</v>
      </c>
      <c r="E64" s="8" t="s">
        <v>107</v>
      </c>
      <c r="F64" s="8" t="s">
        <v>151</v>
      </c>
      <c r="G64" s="10" t="s">
        <v>84</v>
      </c>
      <c r="H64" s="38" t="s">
        <v>26</v>
      </c>
      <c r="J64" s="4">
        <f>5/680*1000</f>
        <v>7.3529411764705879</v>
      </c>
      <c r="K64" s="5" t="s">
        <v>181</v>
      </c>
      <c r="L64" s="5">
        <v>5.3999999999999999E-2</v>
      </c>
      <c r="N64" s="22">
        <v>7.0750000000000002</v>
      </c>
      <c r="Q64" s="27">
        <f t="shared" si="0"/>
        <v>-3.7799999999999931E-2</v>
      </c>
      <c r="R64" s="27"/>
      <c r="S64" s="38" t="s">
        <v>26</v>
      </c>
      <c r="T64" s="23">
        <f t="shared" si="57"/>
        <v>706.71378091872793</v>
      </c>
      <c r="V64" s="22">
        <v>7.0739999999999998</v>
      </c>
      <c r="Y64" s="27">
        <f t="shared" si="53"/>
        <v>-3.7935999999999977E-2</v>
      </c>
      <c r="Z64" s="27"/>
      <c r="AA64" s="38" t="s">
        <v>26</v>
      </c>
      <c r="AB64" s="23">
        <f t="shared" si="58"/>
        <v>706.81368391292051</v>
      </c>
      <c r="AD64" s="22">
        <v>7.1379999999999999</v>
      </c>
      <c r="AG64" s="27">
        <f t="shared" si="59"/>
        <v>-2.9231999999999966E-2</v>
      </c>
      <c r="AH64" s="27"/>
      <c r="AI64" s="38" t="s">
        <v>26</v>
      </c>
      <c r="AJ64" s="23">
        <f t="shared" si="60"/>
        <v>700.47632390025217</v>
      </c>
      <c r="AL64" s="22">
        <v>7.1379999999999999</v>
      </c>
      <c r="AO64" s="27">
        <f t="shared" si="61"/>
        <v>-2.9231999999999966E-2</v>
      </c>
      <c r="AP64" s="27"/>
      <c r="AQ64" s="38" t="s">
        <v>26</v>
      </c>
      <c r="AR64" s="23">
        <f t="shared" si="62"/>
        <v>700.47632390025217</v>
      </c>
      <c r="AT64" s="8"/>
    </row>
    <row r="65" spans="2:46" ht="28.8" x14ac:dyDescent="0.3">
      <c r="B65" s="10" t="s">
        <v>312</v>
      </c>
      <c r="C65" s="75"/>
      <c r="D65" s="7" t="s">
        <v>86</v>
      </c>
      <c r="E65" s="8" t="s">
        <v>86</v>
      </c>
      <c r="F65" s="8" t="s">
        <v>143</v>
      </c>
      <c r="G65" s="8" t="s">
        <v>88</v>
      </c>
      <c r="H65" s="38" t="s">
        <v>26</v>
      </c>
      <c r="J65" s="4">
        <f>5/2200*1000</f>
        <v>2.2727272727272725</v>
      </c>
      <c r="K65" s="5" t="s">
        <v>181</v>
      </c>
      <c r="L65" s="5">
        <v>0.02</v>
      </c>
      <c r="N65" s="22">
        <v>2.2959999999999998</v>
      </c>
      <c r="Q65" s="27">
        <f t="shared" si="0"/>
        <v>1.0240000000000029E-2</v>
      </c>
      <c r="R65" s="27"/>
      <c r="S65" s="38" t="s">
        <v>26</v>
      </c>
      <c r="T65" s="23">
        <f t="shared" si="57"/>
        <v>2177.7003484320558</v>
      </c>
      <c r="V65" s="22">
        <v>2.2989999999999999</v>
      </c>
      <c r="Y65" s="27">
        <f t="shared" si="53"/>
        <v>1.1560000000000079E-2</v>
      </c>
      <c r="Z65" s="27"/>
      <c r="AA65" s="38" t="s">
        <v>26</v>
      </c>
      <c r="AB65" s="23">
        <f t="shared" si="58"/>
        <v>2174.8586341887781</v>
      </c>
      <c r="AD65" s="22">
        <v>2.3159999999999998</v>
      </c>
      <c r="AG65" s="27">
        <f t="shared" si="59"/>
        <v>1.9040000000000036E-2</v>
      </c>
      <c r="AH65" s="27"/>
      <c r="AI65" s="38" t="s">
        <v>26</v>
      </c>
      <c r="AJ65" s="23">
        <f t="shared" si="60"/>
        <v>2158.8946459412782</v>
      </c>
      <c r="AL65" s="22">
        <v>2.3159999999999998</v>
      </c>
      <c r="AO65" s="27">
        <f t="shared" si="61"/>
        <v>1.9040000000000036E-2</v>
      </c>
      <c r="AP65" s="27"/>
      <c r="AQ65" s="38" t="s">
        <v>26</v>
      </c>
      <c r="AR65" s="23">
        <f t="shared" si="62"/>
        <v>2158.8946459412782</v>
      </c>
      <c r="AT65" s="8"/>
    </row>
    <row r="66" spans="2:46" ht="28.8" x14ac:dyDescent="0.3">
      <c r="B66" s="10" t="s">
        <v>313</v>
      </c>
      <c r="C66" s="75"/>
      <c r="D66" s="7" t="s">
        <v>86</v>
      </c>
      <c r="E66" s="8" t="s">
        <v>86</v>
      </c>
      <c r="F66" s="8" t="s">
        <v>146</v>
      </c>
      <c r="G66" s="8" t="s">
        <v>89</v>
      </c>
      <c r="H66" s="38" t="s">
        <v>26</v>
      </c>
      <c r="J66" s="4">
        <f t="shared" ref="J66:J68" si="63">5/2200*1000</f>
        <v>2.2727272727272725</v>
      </c>
      <c r="K66" s="5" t="s">
        <v>181</v>
      </c>
      <c r="L66" s="5">
        <v>0.02</v>
      </c>
      <c r="N66" s="22">
        <v>2.3039999999999998</v>
      </c>
      <c r="Q66" s="27">
        <f t="shared" si="0"/>
        <v>1.3760000000000031E-2</v>
      </c>
      <c r="R66" s="27"/>
      <c r="S66" s="38" t="s">
        <v>26</v>
      </c>
      <c r="T66" s="23">
        <f t="shared" si="57"/>
        <v>2170.1388888888887</v>
      </c>
      <c r="V66" s="22">
        <v>2.294</v>
      </c>
      <c r="Y66" s="27">
        <f t="shared" si="53"/>
        <v>9.3600000000001252E-3</v>
      </c>
      <c r="Z66" s="27"/>
      <c r="AA66" s="38" t="s">
        <v>26</v>
      </c>
      <c r="AB66" s="23">
        <f t="shared" si="58"/>
        <v>2179.598953792502</v>
      </c>
      <c r="AD66" s="22">
        <v>2.3109999999999999</v>
      </c>
      <c r="AG66" s="27">
        <f t="shared" si="59"/>
        <v>1.6840000000000084E-2</v>
      </c>
      <c r="AH66" s="27"/>
      <c r="AI66" s="38" t="s">
        <v>26</v>
      </c>
      <c r="AJ66" s="23">
        <f t="shared" si="60"/>
        <v>2163.565556036348</v>
      </c>
      <c r="AL66" s="22">
        <v>2.3109999999999999</v>
      </c>
      <c r="AO66" s="27">
        <f t="shared" si="61"/>
        <v>1.6840000000000084E-2</v>
      </c>
      <c r="AP66" s="27"/>
      <c r="AQ66" s="38" t="s">
        <v>26</v>
      </c>
      <c r="AR66" s="23">
        <f t="shared" si="62"/>
        <v>2163.565556036348</v>
      </c>
      <c r="AT66" s="8"/>
    </row>
    <row r="67" spans="2:46" ht="28.8" x14ac:dyDescent="0.3">
      <c r="B67" s="10" t="s">
        <v>314</v>
      </c>
      <c r="C67" s="75"/>
      <c r="D67" s="7" t="s">
        <v>86</v>
      </c>
      <c r="E67" s="8" t="s">
        <v>86</v>
      </c>
      <c r="F67" s="8" t="s">
        <v>144</v>
      </c>
      <c r="G67" s="8" t="s">
        <v>90</v>
      </c>
      <c r="H67" s="38" t="s">
        <v>26</v>
      </c>
      <c r="J67" s="4">
        <f t="shared" si="63"/>
        <v>2.2727272727272725</v>
      </c>
      <c r="K67" s="5" t="s">
        <v>181</v>
      </c>
      <c r="L67" s="5">
        <v>0.02</v>
      </c>
      <c r="N67" s="22">
        <v>2.2999999999999998</v>
      </c>
      <c r="Q67" s="27">
        <f t="shared" si="0"/>
        <v>1.200000000000003E-2</v>
      </c>
      <c r="R67" s="27"/>
      <c r="S67" s="38" t="s">
        <v>26</v>
      </c>
      <c r="T67" s="23">
        <f t="shared" si="57"/>
        <v>2173.913043478261</v>
      </c>
      <c r="V67" s="22">
        <v>2.2970000000000002</v>
      </c>
      <c r="Y67" s="27">
        <f t="shared" si="53"/>
        <v>1.0680000000000175E-2</v>
      </c>
      <c r="Z67" s="27"/>
      <c r="AA67" s="38" t="s">
        <v>26</v>
      </c>
      <c r="AB67" s="23">
        <f t="shared" si="58"/>
        <v>2176.7522855898997</v>
      </c>
      <c r="AD67" s="22">
        <v>2.3109999999999999</v>
      </c>
      <c r="AG67" s="27">
        <f t="shared" si="59"/>
        <v>1.6840000000000084E-2</v>
      </c>
      <c r="AH67" s="27"/>
      <c r="AI67" s="38" t="s">
        <v>26</v>
      </c>
      <c r="AJ67" s="23">
        <f t="shared" si="60"/>
        <v>2163.565556036348</v>
      </c>
      <c r="AL67" s="22">
        <v>2.3109999999999999</v>
      </c>
      <c r="AO67" s="27">
        <f t="shared" si="61"/>
        <v>1.6840000000000084E-2</v>
      </c>
      <c r="AP67" s="27"/>
      <c r="AQ67" s="38" t="s">
        <v>26</v>
      </c>
      <c r="AR67" s="23">
        <f t="shared" si="62"/>
        <v>2163.565556036348</v>
      </c>
      <c r="AT67" s="8"/>
    </row>
    <row r="68" spans="2:46" ht="28.8" x14ac:dyDescent="0.3">
      <c r="B68" s="10" t="s">
        <v>315</v>
      </c>
      <c r="C68" s="75"/>
      <c r="D68" s="7" t="s">
        <v>86</v>
      </c>
      <c r="E68" s="8" t="s">
        <v>86</v>
      </c>
      <c r="F68" s="8" t="s">
        <v>145</v>
      </c>
      <c r="G68" s="8" t="s">
        <v>87</v>
      </c>
      <c r="H68" s="38" t="s">
        <v>26</v>
      </c>
      <c r="J68" s="4">
        <f t="shared" si="63"/>
        <v>2.2727272727272725</v>
      </c>
      <c r="K68" s="5" t="s">
        <v>181</v>
      </c>
      <c r="L68" s="5">
        <v>0.02</v>
      </c>
      <c r="N68" s="22">
        <v>2.3050000000000002</v>
      </c>
      <c r="Q68" s="27">
        <f t="shared" si="0"/>
        <v>1.4200000000000178E-2</v>
      </c>
      <c r="R68" s="27"/>
      <c r="S68" s="38" t="s">
        <v>26</v>
      </c>
      <c r="T68" s="23">
        <f t="shared" si="57"/>
        <v>2169.1973969631231</v>
      </c>
      <c r="V68" s="22">
        <v>2.302</v>
      </c>
      <c r="Y68" s="27">
        <f t="shared" si="53"/>
        <v>1.2880000000000127E-2</v>
      </c>
      <c r="Z68" s="27"/>
      <c r="AA68" s="38" t="s">
        <v>26</v>
      </c>
      <c r="AB68" s="23">
        <f t="shared" si="58"/>
        <v>2172.0243266724588</v>
      </c>
      <c r="AD68" s="22">
        <v>2.3159999999999998</v>
      </c>
      <c r="AG68" s="27">
        <f t="shared" si="59"/>
        <v>1.9040000000000036E-2</v>
      </c>
      <c r="AH68" s="27"/>
      <c r="AI68" s="38" t="s">
        <v>26</v>
      </c>
      <c r="AJ68" s="23">
        <f t="shared" si="60"/>
        <v>2158.8946459412782</v>
      </c>
      <c r="AL68" s="22">
        <v>2.3159999999999998</v>
      </c>
      <c r="AO68" s="27">
        <f t="shared" si="61"/>
        <v>1.9040000000000036E-2</v>
      </c>
      <c r="AP68" s="27"/>
      <c r="AQ68" s="38" t="s">
        <v>26</v>
      </c>
      <c r="AR68" s="23">
        <f t="shared" si="62"/>
        <v>2158.8946459412782</v>
      </c>
      <c r="AT68" s="8"/>
    </row>
    <row r="69" spans="2:46" ht="10.050000000000001" customHeight="1" x14ac:dyDescent="0.3">
      <c r="B69" s="11"/>
      <c r="C69" s="13"/>
      <c r="D69" s="14"/>
      <c r="E69" s="11"/>
      <c r="F69" s="14"/>
      <c r="G69" s="14"/>
      <c r="H69" s="2"/>
      <c r="J69" s="6"/>
      <c r="K69" s="2"/>
      <c r="L69" s="2"/>
      <c r="N69" s="24"/>
      <c r="O69" s="24"/>
      <c r="P69" s="24"/>
      <c r="Q69" s="24"/>
      <c r="R69" s="24"/>
      <c r="S69" s="24"/>
      <c r="T69" s="25"/>
      <c r="V69" s="24"/>
      <c r="W69" s="24"/>
      <c r="X69" s="24"/>
      <c r="Y69" s="24"/>
      <c r="Z69" s="24"/>
      <c r="AA69" s="24"/>
      <c r="AB69" s="25"/>
      <c r="AD69" s="24"/>
      <c r="AE69" s="24"/>
      <c r="AF69" s="24"/>
      <c r="AG69" s="24"/>
      <c r="AH69" s="24"/>
      <c r="AI69" s="24"/>
      <c r="AJ69" s="25"/>
      <c r="AL69" s="24"/>
      <c r="AM69" s="24"/>
      <c r="AN69" s="24"/>
      <c r="AO69" s="24"/>
      <c r="AP69" s="24"/>
      <c r="AQ69" s="24"/>
      <c r="AR69" s="25"/>
      <c r="AT69" s="15"/>
    </row>
    <row r="70" spans="2:46" ht="28.8" x14ac:dyDescent="0.3">
      <c r="B70" s="10" t="s">
        <v>353</v>
      </c>
      <c r="C70" s="60" t="s">
        <v>318</v>
      </c>
      <c r="D70" s="7" t="s">
        <v>85</v>
      </c>
      <c r="E70" s="7" t="s">
        <v>316</v>
      </c>
      <c r="F70" s="8" t="s">
        <v>199</v>
      </c>
      <c r="G70" s="10" t="s">
        <v>81</v>
      </c>
      <c r="H70" s="38" t="s">
        <v>26</v>
      </c>
      <c r="J70" s="4">
        <v>15</v>
      </c>
      <c r="K70" s="4" t="s">
        <v>169</v>
      </c>
      <c r="L70" s="5">
        <v>2.4E-2</v>
      </c>
      <c r="N70" s="22">
        <v>15.004</v>
      </c>
      <c r="O70" s="22">
        <v>14.911</v>
      </c>
      <c r="Q70" s="27">
        <f>(O70-$N70)/$N70</f>
        <v>-6.198347107438015E-3</v>
      </c>
      <c r="R70" s="27"/>
      <c r="S70" s="38" t="s">
        <v>26</v>
      </c>
      <c r="V70" s="22">
        <v>14.994999999999999</v>
      </c>
      <c r="W70" s="22">
        <v>14.945</v>
      </c>
      <c r="Y70" s="27">
        <f t="shared" ref="Y70:Y96" si="64">(W70-$V70)/$V70</f>
        <v>-3.3344448149382417E-3</v>
      </c>
      <c r="Z70" s="27"/>
      <c r="AA70" s="38" t="s">
        <v>26</v>
      </c>
      <c r="AD70" s="22">
        <v>14.997999999999999</v>
      </c>
      <c r="AE70" s="22">
        <v>14.911</v>
      </c>
      <c r="AG70" s="27">
        <f t="shared" ref="AG70:AG96" si="65">(AE70-$V70)/$V70</f>
        <v>-5.6018672890963414E-3</v>
      </c>
      <c r="AH70" s="27"/>
      <c r="AI70" s="38" t="s">
        <v>26</v>
      </c>
      <c r="AL70" s="22">
        <v>14.997999999999999</v>
      </c>
      <c r="AM70" s="22">
        <v>14.911</v>
      </c>
      <c r="AO70" s="27">
        <f t="shared" ref="AO70:AO96" si="66">(AM70-$V70)/$V70</f>
        <v>-5.6018672890963414E-3</v>
      </c>
      <c r="AP70" s="27"/>
      <c r="AQ70" s="38" t="s">
        <v>26</v>
      </c>
    </row>
    <row r="71" spans="2:46" ht="28.8" x14ac:dyDescent="0.3">
      <c r="B71" s="10" t="s">
        <v>354</v>
      </c>
      <c r="C71" s="61"/>
      <c r="D71" s="7" t="s">
        <v>85</v>
      </c>
      <c r="E71" s="7" t="s">
        <v>316</v>
      </c>
      <c r="F71" s="8" t="s">
        <v>200</v>
      </c>
      <c r="G71" s="10" t="s">
        <v>82</v>
      </c>
      <c r="H71" s="38" t="s">
        <v>26</v>
      </c>
      <c r="J71" s="4">
        <v>15</v>
      </c>
      <c r="K71" s="4" t="s">
        <v>169</v>
      </c>
      <c r="L71" s="5">
        <v>2.4E-2</v>
      </c>
      <c r="N71" s="22">
        <v>15.004</v>
      </c>
      <c r="O71" s="22">
        <v>14.914999999999999</v>
      </c>
      <c r="Q71" s="27">
        <f t="shared" ref="Q71:Q96" si="67">(O71-$N71)/$N71</f>
        <v>-5.9317515329245811E-3</v>
      </c>
      <c r="R71" s="27"/>
      <c r="S71" s="38" t="s">
        <v>26</v>
      </c>
      <c r="V71" s="22">
        <v>14.994999999999999</v>
      </c>
      <c r="W71" s="22">
        <v>14.874000000000001</v>
      </c>
      <c r="Y71" s="27">
        <f t="shared" si="64"/>
        <v>-8.0693564521506275E-3</v>
      </c>
      <c r="Z71" s="27"/>
      <c r="AA71" s="38" t="s">
        <v>26</v>
      </c>
      <c r="AD71" s="22">
        <v>14.997999999999999</v>
      </c>
      <c r="AE71" s="22">
        <v>14.866</v>
      </c>
      <c r="AG71" s="27">
        <f t="shared" si="65"/>
        <v>-8.6028676225408177E-3</v>
      </c>
      <c r="AH71" s="27"/>
      <c r="AI71" s="38" t="s">
        <v>26</v>
      </c>
      <c r="AL71" s="22">
        <v>14.997999999999999</v>
      </c>
      <c r="AM71" s="22">
        <v>14.866</v>
      </c>
      <c r="AO71" s="27">
        <f t="shared" si="66"/>
        <v>-8.6028676225408177E-3</v>
      </c>
      <c r="AP71" s="27"/>
      <c r="AQ71" s="38" t="s">
        <v>26</v>
      </c>
    </row>
    <row r="72" spans="2:46" ht="28.8" x14ac:dyDescent="0.3">
      <c r="B72" s="10" t="s">
        <v>355</v>
      </c>
      <c r="C72" s="61"/>
      <c r="D72" s="7" t="s">
        <v>85</v>
      </c>
      <c r="E72" s="7" t="s">
        <v>316</v>
      </c>
      <c r="F72" s="8" t="s">
        <v>201</v>
      </c>
      <c r="G72" s="10" t="s">
        <v>83</v>
      </c>
      <c r="H72" s="38" t="s">
        <v>26</v>
      </c>
      <c r="J72" s="4">
        <v>15</v>
      </c>
      <c r="K72" s="4" t="s">
        <v>169</v>
      </c>
      <c r="L72" s="5">
        <v>2.4E-2</v>
      </c>
      <c r="N72" s="22">
        <v>15.004</v>
      </c>
      <c r="O72" s="22">
        <v>14.914</v>
      </c>
      <c r="Q72" s="27">
        <f t="shared" si="67"/>
        <v>-5.9984004265529103E-3</v>
      </c>
      <c r="R72" s="27"/>
      <c r="S72" s="38" t="s">
        <v>26</v>
      </c>
      <c r="V72" s="22">
        <v>14.994999999999999</v>
      </c>
      <c r="W72" s="22">
        <v>14.897</v>
      </c>
      <c r="Y72" s="27">
        <f t="shared" si="64"/>
        <v>-6.5355118372790256E-3</v>
      </c>
      <c r="Z72" s="27"/>
      <c r="AA72" s="38" t="s">
        <v>26</v>
      </c>
      <c r="AD72" s="22">
        <v>14.997999999999999</v>
      </c>
      <c r="AE72" s="22">
        <v>14.897</v>
      </c>
      <c r="AG72" s="27">
        <f t="shared" si="65"/>
        <v>-6.5355118372790256E-3</v>
      </c>
      <c r="AH72" s="27"/>
      <c r="AI72" s="38" t="s">
        <v>26</v>
      </c>
      <c r="AL72" s="22">
        <v>14.997999999999999</v>
      </c>
      <c r="AM72" s="22">
        <v>14.897</v>
      </c>
      <c r="AO72" s="27">
        <f t="shared" si="66"/>
        <v>-6.5355118372790256E-3</v>
      </c>
      <c r="AP72" s="27"/>
      <c r="AQ72" s="38" t="s">
        <v>26</v>
      </c>
    </row>
    <row r="73" spans="2:46" ht="28.8" x14ac:dyDescent="0.3">
      <c r="B73" s="10" t="s">
        <v>356</v>
      </c>
      <c r="C73" s="61"/>
      <c r="D73" s="7" t="s">
        <v>85</v>
      </c>
      <c r="E73" s="7" t="s">
        <v>316</v>
      </c>
      <c r="F73" s="8" t="s">
        <v>202</v>
      </c>
      <c r="G73" s="10" t="s">
        <v>84</v>
      </c>
      <c r="H73" s="38" t="s">
        <v>26</v>
      </c>
      <c r="J73" s="4">
        <v>15</v>
      </c>
      <c r="K73" s="4" t="s">
        <v>169</v>
      </c>
      <c r="L73" s="5">
        <v>2.4E-2</v>
      </c>
      <c r="N73" s="22">
        <v>15.004</v>
      </c>
      <c r="O73" s="22">
        <v>14.888999999999999</v>
      </c>
      <c r="Q73" s="27">
        <f t="shared" si="67"/>
        <v>-7.6646227672620779E-3</v>
      </c>
      <c r="R73" s="27"/>
      <c r="S73" s="38" t="s">
        <v>26</v>
      </c>
      <c r="V73" s="22">
        <v>14.994999999999999</v>
      </c>
      <c r="W73" s="22">
        <v>14.99</v>
      </c>
      <c r="Y73" s="27">
        <f t="shared" si="64"/>
        <v>-3.3344448149376496E-4</v>
      </c>
      <c r="Z73" s="27"/>
      <c r="AA73" s="38" t="s">
        <v>26</v>
      </c>
      <c r="AD73" s="22">
        <v>14.997999999999999</v>
      </c>
      <c r="AE73" s="22">
        <v>14.863</v>
      </c>
      <c r="AG73" s="27">
        <f t="shared" si="65"/>
        <v>-8.8029343114371245E-3</v>
      </c>
      <c r="AH73" s="27"/>
      <c r="AI73" s="38" t="s">
        <v>26</v>
      </c>
      <c r="AL73" s="22">
        <v>14.997999999999999</v>
      </c>
      <c r="AM73" s="22">
        <v>14.863</v>
      </c>
      <c r="AO73" s="27">
        <f t="shared" si="66"/>
        <v>-8.8029343114371245E-3</v>
      </c>
      <c r="AP73" s="27"/>
      <c r="AQ73" s="38" t="s">
        <v>26</v>
      </c>
    </row>
    <row r="74" spans="2:46" ht="28.8" x14ac:dyDescent="0.3">
      <c r="B74" s="10" t="s">
        <v>357</v>
      </c>
      <c r="C74" s="61"/>
      <c r="D74" s="7" t="s">
        <v>85</v>
      </c>
      <c r="E74" s="7" t="s">
        <v>316</v>
      </c>
      <c r="F74" s="8" t="s">
        <v>206</v>
      </c>
      <c r="G74" s="10" t="s">
        <v>81</v>
      </c>
      <c r="H74" s="38" t="s">
        <v>26</v>
      </c>
      <c r="J74" s="4">
        <v>0.1</v>
      </c>
      <c r="K74" s="4" t="s">
        <v>169</v>
      </c>
      <c r="L74" s="5">
        <v>7.0999999999999994E-2</v>
      </c>
      <c r="N74" s="22">
        <v>0.1</v>
      </c>
      <c r="O74" s="22">
        <v>9.5000000000000001E-2</v>
      </c>
      <c r="P74" s="22">
        <v>0.105</v>
      </c>
      <c r="Q74" s="27">
        <f t="shared" si="67"/>
        <v>-5.0000000000000044E-2</v>
      </c>
      <c r="R74" s="27">
        <f t="shared" ref="R74:R96" si="68">(P74-$N74)/$N74</f>
        <v>4.9999999999999906E-2</v>
      </c>
      <c r="S74" s="38" t="s">
        <v>26</v>
      </c>
      <c r="V74" s="22">
        <v>0.1</v>
      </c>
      <c r="W74" s="22">
        <v>0.10100000000000001</v>
      </c>
      <c r="X74" s="22">
        <v>0.10199999999999999</v>
      </c>
      <c r="Y74" s="27">
        <f t="shared" si="64"/>
        <v>1.0000000000000009E-2</v>
      </c>
      <c r="Z74" s="27">
        <f t="shared" ref="Z74:Z96" si="69">(X74-$V74)/$V74</f>
        <v>1.9999999999999879E-2</v>
      </c>
      <c r="AA74" s="38" t="s">
        <v>26</v>
      </c>
      <c r="AD74" s="22">
        <v>0.998</v>
      </c>
      <c r="AE74" s="22">
        <v>9.9000000000000005E-2</v>
      </c>
      <c r="AF74" s="22">
        <v>0.10199999999999999</v>
      </c>
      <c r="AG74" s="27">
        <f t="shared" si="65"/>
        <v>-1.0000000000000009E-2</v>
      </c>
      <c r="AH74" s="27">
        <f t="shared" ref="AH74:AH96" si="70">(AF74-$V74)/$V74</f>
        <v>1.9999999999999879E-2</v>
      </c>
      <c r="AI74" s="38" t="s">
        <v>26</v>
      </c>
      <c r="AL74" s="22">
        <v>0.998</v>
      </c>
      <c r="AM74" s="22">
        <v>9.9000000000000005E-2</v>
      </c>
      <c r="AN74" s="22">
        <v>0.10199999999999999</v>
      </c>
      <c r="AO74" s="27">
        <f t="shared" si="66"/>
        <v>-1.0000000000000009E-2</v>
      </c>
      <c r="AP74" s="27">
        <f t="shared" ref="AP74:AP96" si="71">(AN74-$V74)/$V74</f>
        <v>1.9999999999999879E-2</v>
      </c>
      <c r="AQ74" s="38" t="s">
        <v>26</v>
      </c>
    </row>
    <row r="75" spans="2:46" ht="31.35" customHeight="1" x14ac:dyDescent="0.3">
      <c r="B75" s="10" t="s">
        <v>358</v>
      </c>
      <c r="C75" s="61"/>
      <c r="D75" s="7" t="s">
        <v>85</v>
      </c>
      <c r="E75" s="7" t="s">
        <v>316</v>
      </c>
      <c r="F75" s="8" t="s">
        <v>205</v>
      </c>
      <c r="G75" s="10" t="s">
        <v>82</v>
      </c>
      <c r="H75" s="38" t="s">
        <v>26</v>
      </c>
      <c r="J75" s="4">
        <v>0.1</v>
      </c>
      <c r="K75" s="4" t="s">
        <v>169</v>
      </c>
      <c r="L75" s="5">
        <v>7.0999999999999994E-2</v>
      </c>
      <c r="N75" s="22">
        <v>0.1</v>
      </c>
      <c r="O75" s="22">
        <v>9.6000000000000002E-2</v>
      </c>
      <c r="P75" s="22">
        <v>0.106</v>
      </c>
      <c r="Q75" s="27">
        <f t="shared" si="67"/>
        <v>-4.0000000000000036E-2</v>
      </c>
      <c r="R75" s="27">
        <f t="shared" si="68"/>
        <v>5.9999999999999915E-2</v>
      </c>
      <c r="S75" s="38" t="s">
        <v>26</v>
      </c>
      <c r="V75" s="22">
        <v>0.1</v>
      </c>
      <c r="W75" s="22">
        <v>0.10100000000000001</v>
      </c>
      <c r="X75" s="22">
        <v>0.10199999999999999</v>
      </c>
      <c r="Y75" s="27">
        <f t="shared" si="64"/>
        <v>1.0000000000000009E-2</v>
      </c>
      <c r="Z75" s="27">
        <f t="shared" si="69"/>
        <v>1.9999999999999879E-2</v>
      </c>
      <c r="AA75" s="38" t="s">
        <v>26</v>
      </c>
      <c r="AD75" s="22">
        <v>0.998</v>
      </c>
      <c r="AE75" s="22">
        <v>0.1</v>
      </c>
      <c r="AF75" s="22">
        <v>0.10100000000000001</v>
      </c>
      <c r="AG75" s="27">
        <f t="shared" si="65"/>
        <v>0</v>
      </c>
      <c r="AH75" s="27">
        <f t="shared" si="70"/>
        <v>1.0000000000000009E-2</v>
      </c>
      <c r="AI75" s="38" t="s">
        <v>26</v>
      </c>
      <c r="AL75" s="22">
        <v>0.998</v>
      </c>
      <c r="AM75" s="22">
        <v>0.1</v>
      </c>
      <c r="AN75" s="22">
        <v>0.10100000000000001</v>
      </c>
      <c r="AO75" s="27">
        <f t="shared" si="66"/>
        <v>0</v>
      </c>
      <c r="AP75" s="27">
        <f t="shared" si="71"/>
        <v>1.0000000000000009E-2</v>
      </c>
      <c r="AQ75" s="38" t="s">
        <v>26</v>
      </c>
    </row>
    <row r="76" spans="2:46" ht="28.8" x14ac:dyDescent="0.3">
      <c r="B76" s="10" t="s">
        <v>359</v>
      </c>
      <c r="C76" s="61"/>
      <c r="D76" s="7" t="s">
        <v>85</v>
      </c>
      <c r="E76" s="7" t="s">
        <v>316</v>
      </c>
      <c r="F76" s="8" t="s">
        <v>204</v>
      </c>
      <c r="G76" s="10" t="s">
        <v>83</v>
      </c>
      <c r="H76" s="38" t="s">
        <v>26</v>
      </c>
      <c r="J76" s="4">
        <v>0.1</v>
      </c>
      <c r="K76" s="4" t="s">
        <v>169</v>
      </c>
      <c r="L76" s="5">
        <v>7.0999999999999994E-2</v>
      </c>
      <c r="N76" s="22">
        <v>0.1</v>
      </c>
      <c r="O76" s="22">
        <v>9.6000000000000002E-2</v>
      </c>
      <c r="P76" s="22">
        <v>0.10299999999999999</v>
      </c>
      <c r="Q76" s="27">
        <f t="shared" si="67"/>
        <v>-4.0000000000000036E-2</v>
      </c>
      <c r="R76" s="27">
        <f t="shared" si="68"/>
        <v>2.9999999999999888E-2</v>
      </c>
      <c r="S76" s="38" t="s">
        <v>26</v>
      </c>
      <c r="V76" s="22">
        <v>0.1</v>
      </c>
      <c r="W76" s="22">
        <v>0.10100000000000001</v>
      </c>
      <c r="X76" s="22">
        <v>0.10199999999999999</v>
      </c>
      <c r="Y76" s="27">
        <f t="shared" si="64"/>
        <v>1.0000000000000009E-2</v>
      </c>
      <c r="Z76" s="27">
        <f t="shared" si="69"/>
        <v>1.9999999999999879E-2</v>
      </c>
      <c r="AA76" s="38" t="s">
        <v>26</v>
      </c>
      <c r="AD76" s="22">
        <v>0.998</v>
      </c>
      <c r="AE76" s="22">
        <v>9.9000000000000005E-2</v>
      </c>
      <c r="AF76" s="22">
        <v>0.10199999999999999</v>
      </c>
      <c r="AG76" s="27">
        <f t="shared" si="65"/>
        <v>-1.0000000000000009E-2</v>
      </c>
      <c r="AH76" s="27">
        <f t="shared" si="70"/>
        <v>1.9999999999999879E-2</v>
      </c>
      <c r="AI76" s="38" t="s">
        <v>26</v>
      </c>
      <c r="AL76" s="22">
        <v>0.998</v>
      </c>
      <c r="AM76" s="22">
        <v>9.9000000000000005E-2</v>
      </c>
      <c r="AN76" s="22">
        <v>0.10199999999999999</v>
      </c>
      <c r="AO76" s="27">
        <f t="shared" si="66"/>
        <v>-1.0000000000000009E-2</v>
      </c>
      <c r="AP76" s="27">
        <f t="shared" si="71"/>
        <v>1.9999999999999879E-2</v>
      </c>
      <c r="AQ76" s="38" t="s">
        <v>26</v>
      </c>
    </row>
    <row r="77" spans="2:46" ht="28.8" x14ac:dyDescent="0.3">
      <c r="B77" s="10" t="s">
        <v>360</v>
      </c>
      <c r="C77" s="61"/>
      <c r="D77" s="7" t="s">
        <v>85</v>
      </c>
      <c r="E77" s="7" t="s">
        <v>316</v>
      </c>
      <c r="F77" s="8" t="s">
        <v>203</v>
      </c>
      <c r="G77" s="10" t="s">
        <v>84</v>
      </c>
      <c r="H77" s="38" t="s">
        <v>26</v>
      </c>
      <c r="J77" s="4">
        <v>0.1</v>
      </c>
      <c r="K77" s="4" t="s">
        <v>169</v>
      </c>
      <c r="L77" s="5">
        <v>7.0999999999999994E-2</v>
      </c>
      <c r="N77" s="22">
        <v>0.1</v>
      </c>
      <c r="O77" s="22">
        <v>9.2999999999999999E-2</v>
      </c>
      <c r="P77" s="22">
        <v>0.105</v>
      </c>
      <c r="Q77" s="27">
        <f t="shared" si="67"/>
        <v>-7.0000000000000062E-2</v>
      </c>
      <c r="R77" s="27">
        <f t="shared" si="68"/>
        <v>4.9999999999999906E-2</v>
      </c>
      <c r="S77" s="38" t="s">
        <v>26</v>
      </c>
      <c r="V77" s="22">
        <v>0.1</v>
      </c>
      <c r="W77" s="22">
        <v>0.10100000000000001</v>
      </c>
      <c r="X77" s="22">
        <v>0.10199999999999999</v>
      </c>
      <c r="Y77" s="27">
        <f t="shared" si="64"/>
        <v>1.0000000000000009E-2</v>
      </c>
      <c r="Z77" s="27">
        <f t="shared" si="69"/>
        <v>1.9999999999999879E-2</v>
      </c>
      <c r="AA77" s="38" t="s">
        <v>26</v>
      </c>
      <c r="AD77" s="22">
        <v>0.998</v>
      </c>
      <c r="AE77" s="22">
        <v>0.1</v>
      </c>
      <c r="AF77" s="22">
        <v>0.104</v>
      </c>
      <c r="AG77" s="27">
        <f t="shared" si="65"/>
        <v>0</v>
      </c>
      <c r="AH77" s="27">
        <f t="shared" si="70"/>
        <v>3.9999999999999897E-2</v>
      </c>
      <c r="AI77" s="38" t="s">
        <v>26</v>
      </c>
      <c r="AL77" s="22">
        <v>0.998</v>
      </c>
      <c r="AM77" s="22">
        <v>0.1</v>
      </c>
      <c r="AN77" s="22">
        <v>0.104</v>
      </c>
      <c r="AO77" s="27">
        <f t="shared" si="66"/>
        <v>0</v>
      </c>
      <c r="AP77" s="27">
        <f t="shared" si="71"/>
        <v>3.9999999999999897E-2</v>
      </c>
      <c r="AQ77" s="38" t="s">
        <v>26</v>
      </c>
    </row>
    <row r="78" spans="2:46" ht="28.8" x14ac:dyDescent="0.3">
      <c r="B78" s="10" t="s">
        <v>361</v>
      </c>
      <c r="C78" s="61"/>
      <c r="D78" s="7" t="s">
        <v>207</v>
      </c>
      <c r="E78" s="7" t="s">
        <v>316</v>
      </c>
      <c r="F78" s="8" t="s">
        <v>208</v>
      </c>
      <c r="G78" s="10" t="s">
        <v>129</v>
      </c>
      <c r="H78" s="38" t="s">
        <v>26</v>
      </c>
      <c r="J78" s="4" t="s">
        <v>539</v>
      </c>
      <c r="K78" s="4" t="s">
        <v>169</v>
      </c>
      <c r="L78" s="5">
        <v>2.5000000000000001E-2</v>
      </c>
      <c r="N78" s="22">
        <v>3.907</v>
      </c>
      <c r="P78" s="22">
        <v>3.9089999999999998</v>
      </c>
      <c r="Q78" s="27">
        <f t="shared" si="67"/>
        <v>-1</v>
      </c>
      <c r="R78" s="27">
        <f t="shared" si="68"/>
        <v>5.1190171487068841E-4</v>
      </c>
      <c r="S78" s="38" t="s">
        <v>26</v>
      </c>
      <c r="V78" s="22">
        <v>3.9420000000000002</v>
      </c>
      <c r="W78" s="22">
        <v>3.883</v>
      </c>
      <c r="Y78" s="27">
        <f t="shared" si="64"/>
        <v>-1.4967021816336926E-2</v>
      </c>
      <c r="Z78" s="27">
        <f t="shared" si="69"/>
        <v>-1</v>
      </c>
      <c r="AA78" s="38" t="s">
        <v>26</v>
      </c>
      <c r="AD78" s="22">
        <v>3.9359999999999999</v>
      </c>
      <c r="AE78" s="22">
        <v>3.9079999999999999</v>
      </c>
      <c r="AG78" s="27">
        <f t="shared" si="65"/>
        <v>-8.6250634195840312E-3</v>
      </c>
      <c r="AH78" s="27">
        <f t="shared" si="70"/>
        <v>-1</v>
      </c>
      <c r="AI78" s="38" t="s">
        <v>26</v>
      </c>
      <c r="AL78" s="22">
        <v>3.9359999999999999</v>
      </c>
      <c r="AM78" s="22">
        <v>3.9079999999999999</v>
      </c>
      <c r="AO78" s="27">
        <f t="shared" si="66"/>
        <v>-8.6250634195840312E-3</v>
      </c>
      <c r="AP78" s="27">
        <f t="shared" si="71"/>
        <v>-1</v>
      </c>
      <c r="AQ78" s="38" t="s">
        <v>26</v>
      </c>
    </row>
    <row r="79" spans="2:46" ht="28.8" x14ac:dyDescent="0.3">
      <c r="B79" s="10" t="s">
        <v>362</v>
      </c>
      <c r="C79" s="61"/>
      <c r="D79" s="7" t="s">
        <v>207</v>
      </c>
      <c r="E79" s="7" t="s">
        <v>316</v>
      </c>
      <c r="F79" s="8" t="s">
        <v>227</v>
      </c>
      <c r="G79" s="10" t="s">
        <v>76</v>
      </c>
      <c r="H79" s="38" t="s">
        <v>26</v>
      </c>
      <c r="J79" s="4">
        <v>2.5</v>
      </c>
      <c r="K79" s="4" t="s">
        <v>169</v>
      </c>
      <c r="L79" s="5">
        <v>1.9E-2</v>
      </c>
      <c r="N79" s="22">
        <v>2.4940000000000002</v>
      </c>
      <c r="P79" s="22">
        <v>2.4569999999999999</v>
      </c>
      <c r="Q79" s="27">
        <f t="shared" si="67"/>
        <v>-1</v>
      </c>
      <c r="R79" s="27">
        <f t="shared" si="68"/>
        <v>-1.4835605453087555E-2</v>
      </c>
      <c r="S79" s="38" t="s">
        <v>26</v>
      </c>
      <c r="V79" s="22">
        <v>2.4940000000000002</v>
      </c>
      <c r="W79" s="22">
        <v>2.4609999999999999</v>
      </c>
      <c r="Y79" s="27">
        <f t="shared" si="64"/>
        <v>-1.3231756214915942E-2</v>
      </c>
      <c r="Z79" s="27">
        <f t="shared" si="69"/>
        <v>-1</v>
      </c>
      <c r="AA79" s="38" t="s">
        <v>26</v>
      </c>
      <c r="AD79" s="22">
        <v>2.5</v>
      </c>
      <c r="AE79" s="22">
        <v>2.48</v>
      </c>
      <c r="AG79" s="27">
        <f t="shared" si="65"/>
        <v>-5.6134723336007351E-3</v>
      </c>
      <c r="AH79" s="27">
        <f t="shared" si="70"/>
        <v>-1</v>
      </c>
      <c r="AI79" s="38" t="s">
        <v>26</v>
      </c>
      <c r="AL79" s="22">
        <v>2.5</v>
      </c>
      <c r="AM79" s="22">
        <v>2.48</v>
      </c>
      <c r="AO79" s="27">
        <f t="shared" si="66"/>
        <v>-5.6134723336007351E-3</v>
      </c>
      <c r="AP79" s="27">
        <f t="shared" si="71"/>
        <v>-1</v>
      </c>
      <c r="AQ79" s="38" t="s">
        <v>26</v>
      </c>
    </row>
    <row r="80" spans="2:46" ht="30.45" customHeight="1" x14ac:dyDescent="0.3">
      <c r="B80" s="10" t="s">
        <v>363</v>
      </c>
      <c r="C80" s="61"/>
      <c r="D80" s="7" t="s">
        <v>207</v>
      </c>
      <c r="E80" s="7" t="s">
        <v>316</v>
      </c>
      <c r="F80" s="8" t="s">
        <v>225</v>
      </c>
      <c r="G80" s="10" t="s">
        <v>76</v>
      </c>
      <c r="H80" s="38" t="s">
        <v>26</v>
      </c>
      <c r="J80" s="4">
        <v>5</v>
      </c>
      <c r="K80" s="4" t="s">
        <v>169</v>
      </c>
      <c r="L80" s="5">
        <v>7.0999999999999994E-2</v>
      </c>
      <c r="N80" s="22">
        <v>0.1</v>
      </c>
      <c r="P80" s="22">
        <v>0.10199999999999999</v>
      </c>
      <c r="Q80" s="27">
        <f t="shared" si="67"/>
        <v>-1</v>
      </c>
      <c r="R80" s="27">
        <f t="shared" si="68"/>
        <v>1.9999999999999879E-2</v>
      </c>
      <c r="S80" s="38" t="s">
        <v>26</v>
      </c>
      <c r="V80" s="22">
        <v>0.1</v>
      </c>
      <c r="X80" s="22">
        <v>0.10100000000000001</v>
      </c>
      <c r="Y80" s="27">
        <f t="shared" si="64"/>
        <v>-1</v>
      </c>
      <c r="Z80" s="27">
        <f t="shared" si="69"/>
        <v>1.0000000000000009E-2</v>
      </c>
      <c r="AA80" s="38" t="s">
        <v>26</v>
      </c>
      <c r="AD80" s="22">
        <v>0.10199999999999999</v>
      </c>
      <c r="AF80" s="22">
        <v>0.10299999999999999</v>
      </c>
      <c r="AG80" s="27">
        <f t="shared" si="65"/>
        <v>-1</v>
      </c>
      <c r="AH80" s="27">
        <f t="shared" si="70"/>
        <v>2.9999999999999888E-2</v>
      </c>
      <c r="AI80" s="38" t="s">
        <v>26</v>
      </c>
      <c r="AL80" s="22">
        <v>0.10199999999999999</v>
      </c>
      <c r="AN80" s="22">
        <v>0.10299999999999999</v>
      </c>
      <c r="AO80" s="27">
        <f t="shared" si="66"/>
        <v>-1</v>
      </c>
      <c r="AP80" s="27">
        <f t="shared" si="71"/>
        <v>2.9999999999999888E-2</v>
      </c>
      <c r="AQ80" s="38" t="s">
        <v>26</v>
      </c>
    </row>
    <row r="81" spans="2:43" ht="28.8" x14ac:dyDescent="0.3">
      <c r="B81" s="10" t="s">
        <v>364</v>
      </c>
      <c r="C81" s="61"/>
      <c r="D81" s="7" t="s">
        <v>86</v>
      </c>
      <c r="E81" s="7" t="s">
        <v>316</v>
      </c>
      <c r="F81" s="8" t="s">
        <v>209</v>
      </c>
      <c r="G81" s="8" t="s">
        <v>88</v>
      </c>
      <c r="H81" s="38" t="s">
        <v>26</v>
      </c>
      <c r="J81" s="4">
        <v>5</v>
      </c>
      <c r="K81" s="4" t="s">
        <v>169</v>
      </c>
      <c r="L81" s="5">
        <v>1.7999999999999999E-2</v>
      </c>
      <c r="N81" s="22">
        <v>4.9969999999999999</v>
      </c>
      <c r="P81" s="22">
        <v>4.9989999999999997</v>
      </c>
      <c r="Q81" s="27">
        <f t="shared" si="67"/>
        <v>-1</v>
      </c>
      <c r="R81" s="27">
        <f t="shared" si="68"/>
        <v>4.0024014408640779E-4</v>
      </c>
      <c r="S81" s="38" t="s">
        <v>26</v>
      </c>
      <c r="V81" s="22">
        <v>4.9969999999999999</v>
      </c>
      <c r="X81" s="22">
        <v>4.9889999999999999</v>
      </c>
      <c r="Y81" s="27">
        <f t="shared" si="64"/>
        <v>-1</v>
      </c>
      <c r="Z81" s="27">
        <f t="shared" si="69"/>
        <v>-1.600960576345809E-3</v>
      </c>
      <c r="AA81" s="38" t="s">
        <v>26</v>
      </c>
      <c r="AD81" s="22">
        <v>4.9489999999999998</v>
      </c>
      <c r="AF81" s="22">
        <v>4.9509999999999996</v>
      </c>
      <c r="AG81" s="27">
        <f t="shared" si="65"/>
        <v>-1</v>
      </c>
      <c r="AH81" s="27">
        <f t="shared" si="70"/>
        <v>-9.2055233139884465E-3</v>
      </c>
      <c r="AI81" s="38" t="s">
        <v>26</v>
      </c>
      <c r="AL81" s="22">
        <v>4.9489999999999998</v>
      </c>
      <c r="AN81" s="22">
        <v>4.9509999999999996</v>
      </c>
      <c r="AO81" s="27">
        <f t="shared" si="66"/>
        <v>-1</v>
      </c>
      <c r="AP81" s="27">
        <f t="shared" si="71"/>
        <v>-9.2055233139884465E-3</v>
      </c>
      <c r="AQ81" s="38" t="s">
        <v>26</v>
      </c>
    </row>
    <row r="82" spans="2:43" ht="28.8" x14ac:dyDescent="0.3">
      <c r="B82" s="10" t="s">
        <v>365</v>
      </c>
      <c r="C82" s="61"/>
      <c r="D82" s="7" t="s">
        <v>86</v>
      </c>
      <c r="E82" s="7" t="s">
        <v>316</v>
      </c>
      <c r="F82" s="8" t="s">
        <v>210</v>
      </c>
      <c r="G82" s="8" t="s">
        <v>89</v>
      </c>
      <c r="H82" s="38" t="s">
        <v>26</v>
      </c>
      <c r="J82" s="4">
        <v>5</v>
      </c>
      <c r="K82" s="4" t="s">
        <v>169</v>
      </c>
      <c r="L82" s="5">
        <v>1.7999999999999999E-2</v>
      </c>
      <c r="N82" s="22">
        <v>4.9969999999999999</v>
      </c>
      <c r="P82" s="22">
        <v>4.9989999999999997</v>
      </c>
      <c r="Q82" s="27">
        <f t="shared" si="67"/>
        <v>-1</v>
      </c>
      <c r="R82" s="27">
        <f t="shared" si="68"/>
        <v>4.0024014408640779E-4</v>
      </c>
      <c r="S82" s="38" t="s">
        <v>26</v>
      </c>
      <c r="V82" s="22">
        <v>4.9969999999999999</v>
      </c>
      <c r="X82" s="22">
        <v>4.9989999999999997</v>
      </c>
      <c r="Y82" s="27">
        <f t="shared" si="64"/>
        <v>-1</v>
      </c>
      <c r="Z82" s="27">
        <f t="shared" si="69"/>
        <v>4.0024014408640779E-4</v>
      </c>
      <c r="AA82" s="38" t="s">
        <v>26</v>
      </c>
      <c r="AD82" s="22">
        <v>4.9489999999999998</v>
      </c>
      <c r="AF82" s="22">
        <v>4.9459999999999997</v>
      </c>
      <c r="AG82" s="27">
        <f t="shared" si="65"/>
        <v>-1</v>
      </c>
      <c r="AH82" s="27">
        <f t="shared" si="70"/>
        <v>-1.0206123674204554E-2</v>
      </c>
      <c r="AI82" s="38" t="s">
        <v>26</v>
      </c>
      <c r="AL82" s="22">
        <v>4.9489999999999998</v>
      </c>
      <c r="AN82" s="22">
        <v>4.9459999999999997</v>
      </c>
      <c r="AO82" s="27">
        <f t="shared" si="66"/>
        <v>-1</v>
      </c>
      <c r="AP82" s="27">
        <f t="shared" si="71"/>
        <v>-1.0206123674204554E-2</v>
      </c>
      <c r="AQ82" s="38" t="s">
        <v>26</v>
      </c>
    </row>
    <row r="83" spans="2:43" ht="28.8" x14ac:dyDescent="0.3">
      <c r="B83" s="10" t="s">
        <v>366</v>
      </c>
      <c r="C83" s="61"/>
      <c r="D83" s="7" t="s">
        <v>86</v>
      </c>
      <c r="E83" s="7" t="s">
        <v>316</v>
      </c>
      <c r="F83" s="8" t="s">
        <v>211</v>
      </c>
      <c r="G83" s="8" t="s">
        <v>90</v>
      </c>
      <c r="H83" s="38" t="s">
        <v>26</v>
      </c>
      <c r="J83" s="4">
        <v>5</v>
      </c>
      <c r="K83" s="4" t="s">
        <v>169</v>
      </c>
      <c r="L83" s="5">
        <v>1.7999999999999999E-2</v>
      </c>
      <c r="N83" s="22">
        <v>4.9969999999999999</v>
      </c>
      <c r="P83" s="22">
        <v>4.9989999999999997</v>
      </c>
      <c r="Q83" s="27">
        <f t="shared" si="67"/>
        <v>-1</v>
      </c>
      <c r="R83" s="27">
        <f t="shared" si="68"/>
        <v>4.0024014408640779E-4</v>
      </c>
      <c r="S83" s="38" t="s">
        <v>26</v>
      </c>
      <c r="V83" s="22">
        <v>4.9969999999999999</v>
      </c>
      <c r="X83" s="22">
        <v>4.9939999999999998</v>
      </c>
      <c r="Y83" s="27">
        <f t="shared" si="64"/>
        <v>-1</v>
      </c>
      <c r="Z83" s="27">
        <f t="shared" si="69"/>
        <v>-6.0036021612970059E-4</v>
      </c>
      <c r="AA83" s="38" t="s">
        <v>26</v>
      </c>
      <c r="AD83" s="22">
        <v>4.9489999999999998</v>
      </c>
      <c r="AF83" s="22">
        <v>4.9509999999999996</v>
      </c>
      <c r="AG83" s="27">
        <f t="shared" si="65"/>
        <v>-1</v>
      </c>
      <c r="AH83" s="27">
        <f t="shared" si="70"/>
        <v>-9.2055233139884465E-3</v>
      </c>
      <c r="AI83" s="38" t="s">
        <v>26</v>
      </c>
      <c r="AL83" s="22">
        <v>4.9489999999999998</v>
      </c>
      <c r="AN83" s="22">
        <v>4.9509999999999996</v>
      </c>
      <c r="AO83" s="27">
        <f t="shared" si="66"/>
        <v>-1</v>
      </c>
      <c r="AP83" s="27">
        <f t="shared" si="71"/>
        <v>-9.2055233139884465E-3</v>
      </c>
      <c r="AQ83" s="38" t="s">
        <v>26</v>
      </c>
    </row>
    <row r="84" spans="2:43" ht="28.8" x14ac:dyDescent="0.3">
      <c r="B84" s="10" t="s">
        <v>367</v>
      </c>
      <c r="C84" s="61"/>
      <c r="D84" s="7" t="s">
        <v>86</v>
      </c>
      <c r="E84" s="7" t="s">
        <v>316</v>
      </c>
      <c r="F84" s="8" t="s">
        <v>212</v>
      </c>
      <c r="G84" s="8" t="s">
        <v>87</v>
      </c>
      <c r="H84" s="38" t="s">
        <v>26</v>
      </c>
      <c r="J84" s="4">
        <v>5</v>
      </c>
      <c r="K84" s="4" t="s">
        <v>169</v>
      </c>
      <c r="L84" s="5">
        <v>1.7999999999999999E-2</v>
      </c>
      <c r="N84" s="22">
        <v>4.9969999999999999</v>
      </c>
      <c r="P84" s="22">
        <v>4.9989999999999997</v>
      </c>
      <c r="Q84" s="27">
        <f t="shared" si="67"/>
        <v>-1</v>
      </c>
      <c r="R84" s="27">
        <f t="shared" si="68"/>
        <v>4.0024014408640779E-4</v>
      </c>
      <c r="S84" s="38" t="s">
        <v>26</v>
      </c>
      <c r="V84" s="22">
        <v>4.9969999999999999</v>
      </c>
      <c r="X84" s="22">
        <v>4.9950000000000001</v>
      </c>
      <c r="Y84" s="27">
        <f t="shared" si="64"/>
        <v>-1</v>
      </c>
      <c r="Z84" s="27">
        <f t="shared" si="69"/>
        <v>-4.0024014408640779E-4</v>
      </c>
      <c r="AA84" s="38" t="s">
        <v>26</v>
      </c>
      <c r="AD84" s="22">
        <v>4.9489999999999998</v>
      </c>
      <c r="AF84" s="22">
        <v>4.9580000000000002</v>
      </c>
      <c r="AG84" s="27">
        <f t="shared" si="65"/>
        <v>-1</v>
      </c>
      <c r="AH84" s="27">
        <f t="shared" si="70"/>
        <v>-7.8046828096857519E-3</v>
      </c>
      <c r="AI84" s="38" t="s">
        <v>26</v>
      </c>
      <c r="AL84" s="22">
        <v>4.9489999999999998</v>
      </c>
      <c r="AN84" s="22">
        <v>4.9580000000000002</v>
      </c>
      <c r="AO84" s="27">
        <f t="shared" si="66"/>
        <v>-1</v>
      </c>
      <c r="AP84" s="27">
        <f t="shared" si="71"/>
        <v>-7.8046828096857519E-3</v>
      </c>
      <c r="AQ84" s="38" t="s">
        <v>26</v>
      </c>
    </row>
    <row r="85" spans="2:43" ht="28.8" x14ac:dyDescent="0.3">
      <c r="B85" s="10" t="s">
        <v>368</v>
      </c>
      <c r="C85" s="61"/>
      <c r="D85" s="7" t="s">
        <v>86</v>
      </c>
      <c r="E85" s="7" t="s">
        <v>316</v>
      </c>
      <c r="F85" s="8" t="s">
        <v>213</v>
      </c>
      <c r="G85" s="8" t="s">
        <v>88</v>
      </c>
      <c r="H85" s="38" t="s">
        <v>26</v>
      </c>
      <c r="J85" s="4">
        <v>0.1</v>
      </c>
      <c r="K85" s="4" t="s">
        <v>169</v>
      </c>
      <c r="L85" s="5">
        <v>6.4000000000000001E-2</v>
      </c>
      <c r="N85" s="22">
        <v>0.1</v>
      </c>
      <c r="P85" s="22">
        <v>0.105</v>
      </c>
      <c r="Q85" s="27">
        <f t="shared" si="67"/>
        <v>-1</v>
      </c>
      <c r="R85" s="27">
        <f t="shared" si="68"/>
        <v>4.9999999999999906E-2</v>
      </c>
      <c r="S85" s="38" t="s">
        <v>26</v>
      </c>
      <c r="V85" s="22">
        <v>0.1</v>
      </c>
      <c r="X85" s="22">
        <v>0.105</v>
      </c>
      <c r="Y85" s="27">
        <f t="shared" si="64"/>
        <v>-1</v>
      </c>
      <c r="Z85" s="27">
        <f t="shared" si="69"/>
        <v>4.9999999999999906E-2</v>
      </c>
      <c r="AA85" s="38" t="s">
        <v>26</v>
      </c>
      <c r="AD85" s="22">
        <v>0.1</v>
      </c>
      <c r="AF85" s="22">
        <v>0.106</v>
      </c>
      <c r="AG85" s="27">
        <f t="shared" si="65"/>
        <v>-1</v>
      </c>
      <c r="AH85" s="27">
        <f t="shared" si="70"/>
        <v>5.9999999999999915E-2</v>
      </c>
      <c r="AI85" s="38" t="s">
        <v>26</v>
      </c>
      <c r="AL85" s="22">
        <v>0.1</v>
      </c>
      <c r="AN85" s="22">
        <v>0.106</v>
      </c>
      <c r="AO85" s="27">
        <f t="shared" si="66"/>
        <v>-1</v>
      </c>
      <c r="AP85" s="27">
        <f t="shared" si="71"/>
        <v>5.9999999999999915E-2</v>
      </c>
      <c r="AQ85" s="38" t="s">
        <v>26</v>
      </c>
    </row>
    <row r="86" spans="2:43" ht="28.8" x14ac:dyDescent="0.3">
      <c r="B86" s="10" t="s">
        <v>369</v>
      </c>
      <c r="C86" s="61"/>
      <c r="D86" s="7" t="s">
        <v>86</v>
      </c>
      <c r="E86" s="7" t="s">
        <v>316</v>
      </c>
      <c r="F86" s="8" t="s">
        <v>214</v>
      </c>
      <c r="G86" s="8" t="s">
        <v>89</v>
      </c>
      <c r="H86" s="38" t="s">
        <v>26</v>
      </c>
      <c r="J86" s="4">
        <v>0.1</v>
      </c>
      <c r="K86" s="4" t="s">
        <v>169</v>
      </c>
      <c r="L86" s="5">
        <v>6.4000000000000001E-2</v>
      </c>
      <c r="N86" s="22">
        <v>0.1</v>
      </c>
      <c r="P86" s="22">
        <v>0.105</v>
      </c>
      <c r="Q86" s="27">
        <f t="shared" si="67"/>
        <v>-1</v>
      </c>
      <c r="R86" s="27">
        <f t="shared" si="68"/>
        <v>4.9999999999999906E-2</v>
      </c>
      <c r="S86" s="38" t="s">
        <v>26</v>
      </c>
      <c r="V86" s="22">
        <v>0.1</v>
      </c>
      <c r="X86" s="22">
        <v>0.106</v>
      </c>
      <c r="Y86" s="27">
        <f t="shared" si="64"/>
        <v>-1</v>
      </c>
      <c r="Z86" s="27">
        <f t="shared" si="69"/>
        <v>5.9999999999999915E-2</v>
      </c>
      <c r="AA86" s="38" t="s">
        <v>26</v>
      </c>
      <c r="AD86" s="22">
        <v>0.1</v>
      </c>
      <c r="AF86" s="22">
        <v>0.106</v>
      </c>
      <c r="AG86" s="27">
        <f t="shared" si="65"/>
        <v>-1</v>
      </c>
      <c r="AH86" s="27">
        <f t="shared" si="70"/>
        <v>5.9999999999999915E-2</v>
      </c>
      <c r="AI86" s="38" t="s">
        <v>26</v>
      </c>
      <c r="AL86" s="22">
        <v>0.1</v>
      </c>
      <c r="AN86" s="22">
        <v>0.106</v>
      </c>
      <c r="AO86" s="27">
        <f t="shared" si="66"/>
        <v>-1</v>
      </c>
      <c r="AP86" s="27">
        <f t="shared" si="71"/>
        <v>5.9999999999999915E-2</v>
      </c>
      <c r="AQ86" s="38" t="s">
        <v>26</v>
      </c>
    </row>
    <row r="87" spans="2:43" ht="28.8" x14ac:dyDescent="0.3">
      <c r="B87" s="10" t="s">
        <v>370</v>
      </c>
      <c r="C87" s="61"/>
      <c r="D87" s="7" t="s">
        <v>86</v>
      </c>
      <c r="E87" s="7" t="s">
        <v>316</v>
      </c>
      <c r="F87" s="8" t="s">
        <v>215</v>
      </c>
      <c r="G87" s="8" t="s">
        <v>90</v>
      </c>
      <c r="H87" s="38" t="s">
        <v>26</v>
      </c>
      <c r="J87" s="4">
        <v>0.1</v>
      </c>
      <c r="K87" s="4" t="s">
        <v>169</v>
      </c>
      <c r="L87" s="5">
        <v>6.4000000000000001E-2</v>
      </c>
      <c r="N87" s="22">
        <v>0.1</v>
      </c>
      <c r="P87" s="22">
        <v>0.105</v>
      </c>
      <c r="Q87" s="27">
        <f t="shared" si="67"/>
        <v>-1</v>
      </c>
      <c r="R87" s="27">
        <f t="shared" si="68"/>
        <v>4.9999999999999906E-2</v>
      </c>
      <c r="S87" s="38" t="s">
        <v>26</v>
      </c>
      <c r="V87" s="22">
        <v>0.1</v>
      </c>
      <c r="X87" s="22">
        <v>0.105</v>
      </c>
      <c r="Y87" s="27">
        <f t="shared" si="64"/>
        <v>-1</v>
      </c>
      <c r="Z87" s="27">
        <f t="shared" si="69"/>
        <v>4.9999999999999906E-2</v>
      </c>
      <c r="AA87" s="38" t="s">
        <v>26</v>
      </c>
      <c r="AD87" s="22">
        <v>0.1</v>
      </c>
      <c r="AF87" s="22">
        <v>0.106</v>
      </c>
      <c r="AG87" s="27">
        <f t="shared" si="65"/>
        <v>-1</v>
      </c>
      <c r="AH87" s="27">
        <f t="shared" si="70"/>
        <v>5.9999999999999915E-2</v>
      </c>
      <c r="AI87" s="38" t="s">
        <v>26</v>
      </c>
      <c r="AL87" s="22">
        <v>0.1</v>
      </c>
      <c r="AN87" s="22">
        <v>0.106</v>
      </c>
      <c r="AO87" s="27">
        <f t="shared" si="66"/>
        <v>-1</v>
      </c>
      <c r="AP87" s="27">
        <f t="shared" si="71"/>
        <v>5.9999999999999915E-2</v>
      </c>
      <c r="AQ87" s="38" t="s">
        <v>26</v>
      </c>
    </row>
    <row r="88" spans="2:43" ht="28.8" x14ac:dyDescent="0.3">
      <c r="B88" s="10" t="s">
        <v>371</v>
      </c>
      <c r="C88" s="61"/>
      <c r="D88" s="7" t="s">
        <v>86</v>
      </c>
      <c r="E88" s="7" t="s">
        <v>316</v>
      </c>
      <c r="F88" s="8" t="s">
        <v>216</v>
      </c>
      <c r="G88" s="8" t="s">
        <v>87</v>
      </c>
      <c r="H88" s="38" t="s">
        <v>26</v>
      </c>
      <c r="J88" s="4">
        <v>0.1</v>
      </c>
      <c r="K88" s="4" t="s">
        <v>169</v>
      </c>
      <c r="L88" s="5">
        <v>6.4000000000000001E-2</v>
      </c>
      <c r="N88" s="22">
        <v>0.1</v>
      </c>
      <c r="P88" s="22">
        <v>0.105</v>
      </c>
      <c r="Q88" s="27">
        <f t="shared" si="67"/>
        <v>-1</v>
      </c>
      <c r="R88" s="27">
        <f t="shared" si="68"/>
        <v>4.9999999999999906E-2</v>
      </c>
      <c r="S88" s="38" t="s">
        <v>26</v>
      </c>
      <c r="V88" s="22">
        <v>0.1</v>
      </c>
      <c r="X88" s="22">
        <v>0.106</v>
      </c>
      <c r="Y88" s="27">
        <f t="shared" si="64"/>
        <v>-1</v>
      </c>
      <c r="Z88" s="27">
        <f t="shared" si="69"/>
        <v>5.9999999999999915E-2</v>
      </c>
      <c r="AA88" s="38" t="s">
        <v>26</v>
      </c>
      <c r="AD88" s="22">
        <v>0.1</v>
      </c>
      <c r="AF88" s="22">
        <v>0.106</v>
      </c>
      <c r="AG88" s="27">
        <f t="shared" si="65"/>
        <v>-1</v>
      </c>
      <c r="AH88" s="27">
        <f t="shared" si="70"/>
        <v>5.9999999999999915E-2</v>
      </c>
      <c r="AI88" s="38" t="s">
        <v>26</v>
      </c>
      <c r="AL88" s="22">
        <v>0.1</v>
      </c>
      <c r="AN88" s="22">
        <v>0.106</v>
      </c>
      <c r="AO88" s="27">
        <f t="shared" si="66"/>
        <v>-1</v>
      </c>
      <c r="AP88" s="27">
        <f t="shared" si="71"/>
        <v>5.9999999999999915E-2</v>
      </c>
      <c r="AQ88" s="38" t="s">
        <v>26</v>
      </c>
    </row>
    <row r="89" spans="2:43" ht="28.8" x14ac:dyDescent="0.3">
      <c r="B89" s="10" t="s">
        <v>372</v>
      </c>
      <c r="C89" s="61"/>
      <c r="D89" s="7" t="s">
        <v>17</v>
      </c>
      <c r="E89" s="7" t="s">
        <v>316</v>
      </c>
      <c r="F89" s="8" t="s">
        <v>289</v>
      </c>
      <c r="G89" s="8" t="s">
        <v>285</v>
      </c>
      <c r="H89" s="38" t="s">
        <v>26</v>
      </c>
      <c r="J89" s="4">
        <v>0.1</v>
      </c>
      <c r="K89" s="4" t="s">
        <v>169</v>
      </c>
      <c r="L89" s="5">
        <v>0.09</v>
      </c>
      <c r="N89" s="22">
        <v>0.1</v>
      </c>
      <c r="O89" s="22">
        <v>9.7000000000000003E-2</v>
      </c>
      <c r="P89" s="22">
        <v>0.10100000000000001</v>
      </c>
      <c r="Q89" s="27">
        <f t="shared" si="67"/>
        <v>-3.0000000000000027E-2</v>
      </c>
      <c r="R89" s="27">
        <f t="shared" si="68"/>
        <v>1.0000000000000009E-2</v>
      </c>
      <c r="S89" s="38" t="s">
        <v>26</v>
      </c>
      <c r="V89" s="22">
        <v>0.1</v>
      </c>
      <c r="W89" s="22">
        <v>9.8000000000000004E-2</v>
      </c>
      <c r="X89" s="22">
        <v>0.10199999999999999</v>
      </c>
      <c r="Y89" s="27">
        <f t="shared" si="64"/>
        <v>-2.0000000000000018E-2</v>
      </c>
      <c r="Z89" s="27">
        <f t="shared" si="69"/>
        <v>1.9999999999999879E-2</v>
      </c>
      <c r="AA89" s="38" t="s">
        <v>26</v>
      </c>
      <c r="AD89" s="22">
        <v>0.1</v>
      </c>
      <c r="AE89" s="22">
        <v>9.6000000000000002E-2</v>
      </c>
      <c r="AF89" s="22">
        <v>0.10299999999999999</v>
      </c>
      <c r="AG89" s="27">
        <f t="shared" si="65"/>
        <v>-4.0000000000000036E-2</v>
      </c>
      <c r="AH89" s="27">
        <f t="shared" si="70"/>
        <v>2.9999999999999888E-2</v>
      </c>
      <c r="AI89" s="38" t="s">
        <v>26</v>
      </c>
      <c r="AL89" s="22">
        <v>0.1</v>
      </c>
      <c r="AM89" s="22">
        <v>9.6000000000000002E-2</v>
      </c>
      <c r="AN89" s="22">
        <v>0.10299999999999999</v>
      </c>
      <c r="AO89" s="27">
        <f t="shared" si="66"/>
        <v>-4.0000000000000036E-2</v>
      </c>
      <c r="AP89" s="27">
        <f t="shared" si="71"/>
        <v>2.9999999999999888E-2</v>
      </c>
      <c r="AQ89" s="38" t="s">
        <v>26</v>
      </c>
    </row>
    <row r="90" spans="2:43" ht="28.8" x14ac:dyDescent="0.3">
      <c r="B90" s="10" t="s">
        <v>373</v>
      </c>
      <c r="C90" s="61"/>
      <c r="D90" s="7" t="s">
        <v>17</v>
      </c>
      <c r="E90" s="7" t="s">
        <v>316</v>
      </c>
      <c r="F90" s="8" t="s">
        <v>289</v>
      </c>
      <c r="G90" s="8" t="s">
        <v>286</v>
      </c>
      <c r="H90" s="38" t="s">
        <v>26</v>
      </c>
      <c r="J90" s="4">
        <v>0.1</v>
      </c>
      <c r="K90" s="4" t="s">
        <v>169</v>
      </c>
      <c r="L90" s="5">
        <v>0.09</v>
      </c>
      <c r="N90" s="22">
        <v>0.1</v>
      </c>
      <c r="O90" s="22">
        <v>9.7000000000000003E-2</v>
      </c>
      <c r="P90" s="22">
        <v>0.10299999999999999</v>
      </c>
      <c r="Q90" s="27">
        <f t="shared" si="67"/>
        <v>-3.0000000000000027E-2</v>
      </c>
      <c r="R90" s="27">
        <f t="shared" si="68"/>
        <v>2.9999999999999888E-2</v>
      </c>
      <c r="S90" s="38" t="s">
        <v>26</v>
      </c>
      <c r="V90" s="22">
        <v>0.1</v>
      </c>
      <c r="W90" s="22">
        <v>9.5000000000000001E-2</v>
      </c>
      <c r="X90" s="22">
        <v>0.10199999999999999</v>
      </c>
      <c r="Y90" s="27">
        <f t="shared" si="64"/>
        <v>-5.0000000000000044E-2</v>
      </c>
      <c r="Z90" s="27">
        <f t="shared" si="69"/>
        <v>1.9999999999999879E-2</v>
      </c>
      <c r="AA90" s="38" t="s">
        <v>26</v>
      </c>
      <c r="AD90" s="22">
        <v>0.1</v>
      </c>
      <c r="AE90" s="22">
        <v>9.5000000000000001E-2</v>
      </c>
      <c r="AF90" s="22">
        <v>0.10100000000000001</v>
      </c>
      <c r="AG90" s="27">
        <f t="shared" si="65"/>
        <v>-5.0000000000000044E-2</v>
      </c>
      <c r="AH90" s="27">
        <f t="shared" si="70"/>
        <v>1.0000000000000009E-2</v>
      </c>
      <c r="AI90" s="38" t="s">
        <v>26</v>
      </c>
      <c r="AL90" s="22">
        <v>0.1</v>
      </c>
      <c r="AM90" s="22">
        <v>9.5000000000000001E-2</v>
      </c>
      <c r="AN90" s="22">
        <v>0.10100000000000001</v>
      </c>
      <c r="AO90" s="27">
        <f t="shared" si="66"/>
        <v>-5.0000000000000044E-2</v>
      </c>
      <c r="AP90" s="27">
        <f t="shared" si="71"/>
        <v>1.0000000000000009E-2</v>
      </c>
      <c r="AQ90" s="38" t="s">
        <v>26</v>
      </c>
    </row>
    <row r="91" spans="2:43" ht="28.8" x14ac:dyDescent="0.3">
      <c r="B91" s="10" t="s">
        <v>374</v>
      </c>
      <c r="C91" s="61"/>
      <c r="D91" s="7" t="s">
        <v>17</v>
      </c>
      <c r="E91" s="7" t="s">
        <v>316</v>
      </c>
      <c r="F91" s="8" t="s">
        <v>289</v>
      </c>
      <c r="G91" s="8" t="s">
        <v>287</v>
      </c>
      <c r="H91" s="38" t="s">
        <v>26</v>
      </c>
      <c r="J91" s="4">
        <v>0.1</v>
      </c>
      <c r="K91" s="4" t="s">
        <v>169</v>
      </c>
      <c r="L91" s="5">
        <v>0.09</v>
      </c>
      <c r="N91" s="22">
        <v>0.1</v>
      </c>
      <c r="O91" s="22">
        <v>9.7000000000000003E-2</v>
      </c>
      <c r="P91" s="22">
        <v>0.105</v>
      </c>
      <c r="Q91" s="27">
        <f t="shared" si="67"/>
        <v>-3.0000000000000027E-2</v>
      </c>
      <c r="R91" s="27">
        <f t="shared" si="68"/>
        <v>4.9999999999999906E-2</v>
      </c>
      <c r="S91" s="38" t="s">
        <v>26</v>
      </c>
      <c r="V91" s="22">
        <v>0.1</v>
      </c>
      <c r="W91" s="22">
        <v>9.6000000000000002E-2</v>
      </c>
      <c r="X91" s="22">
        <v>0.104</v>
      </c>
      <c r="Y91" s="27">
        <f t="shared" si="64"/>
        <v>-4.0000000000000036E-2</v>
      </c>
      <c r="Z91" s="27">
        <f t="shared" si="69"/>
        <v>3.9999999999999897E-2</v>
      </c>
      <c r="AA91" s="38" t="s">
        <v>26</v>
      </c>
      <c r="AD91" s="22">
        <v>0.1</v>
      </c>
      <c r="AE91" s="22">
        <v>9.9000000000000005E-2</v>
      </c>
      <c r="AF91" s="22">
        <v>0.10199999999999999</v>
      </c>
      <c r="AG91" s="27">
        <f t="shared" si="65"/>
        <v>-1.0000000000000009E-2</v>
      </c>
      <c r="AH91" s="27">
        <f t="shared" si="70"/>
        <v>1.9999999999999879E-2</v>
      </c>
      <c r="AI91" s="38" t="s">
        <v>26</v>
      </c>
      <c r="AL91" s="22">
        <v>0.1</v>
      </c>
      <c r="AM91" s="22">
        <v>9.9000000000000005E-2</v>
      </c>
      <c r="AN91" s="22">
        <v>0.10199999999999999</v>
      </c>
      <c r="AO91" s="27">
        <f t="shared" si="66"/>
        <v>-1.0000000000000009E-2</v>
      </c>
      <c r="AP91" s="27">
        <f t="shared" si="71"/>
        <v>1.9999999999999879E-2</v>
      </c>
      <c r="AQ91" s="38" t="s">
        <v>26</v>
      </c>
    </row>
    <row r="92" spans="2:43" ht="28.8" x14ac:dyDescent="0.3">
      <c r="B92" s="10" t="s">
        <v>375</v>
      </c>
      <c r="C92" s="61"/>
      <c r="D92" s="7" t="s">
        <v>17</v>
      </c>
      <c r="E92" s="7" t="s">
        <v>316</v>
      </c>
      <c r="F92" s="8" t="s">
        <v>289</v>
      </c>
      <c r="G92" s="8" t="s">
        <v>288</v>
      </c>
      <c r="H92" s="38" t="s">
        <v>26</v>
      </c>
      <c r="J92" s="4">
        <v>0.1</v>
      </c>
      <c r="K92" s="4" t="s">
        <v>169</v>
      </c>
      <c r="L92" s="5">
        <v>0.09</v>
      </c>
      <c r="N92" s="22">
        <v>0.1</v>
      </c>
      <c r="O92" s="22">
        <v>9.7000000000000003E-2</v>
      </c>
      <c r="P92" s="22">
        <v>0.105</v>
      </c>
      <c r="Q92" s="27">
        <f t="shared" si="67"/>
        <v>-3.0000000000000027E-2</v>
      </c>
      <c r="R92" s="27">
        <f t="shared" si="68"/>
        <v>4.9999999999999906E-2</v>
      </c>
      <c r="S92" s="38" t="s">
        <v>26</v>
      </c>
      <c r="V92" s="22">
        <v>0.1</v>
      </c>
      <c r="W92" s="22">
        <v>9.9000000000000005E-2</v>
      </c>
      <c r="X92" s="22">
        <v>0.10299999999999999</v>
      </c>
      <c r="Y92" s="27">
        <f t="shared" si="64"/>
        <v>-1.0000000000000009E-2</v>
      </c>
      <c r="Z92" s="27">
        <f t="shared" si="69"/>
        <v>2.9999999999999888E-2</v>
      </c>
      <c r="AA92" s="38" t="s">
        <v>26</v>
      </c>
      <c r="AD92" s="22">
        <v>0.1</v>
      </c>
      <c r="AE92" s="22">
        <v>9.8000000000000004E-2</v>
      </c>
      <c r="AF92" s="22">
        <v>0.104</v>
      </c>
      <c r="AG92" s="27">
        <f t="shared" si="65"/>
        <v>-2.0000000000000018E-2</v>
      </c>
      <c r="AH92" s="27">
        <f t="shared" si="70"/>
        <v>3.9999999999999897E-2</v>
      </c>
      <c r="AI92" s="38" t="s">
        <v>26</v>
      </c>
      <c r="AL92" s="22">
        <v>0.1</v>
      </c>
      <c r="AM92" s="22">
        <v>9.8000000000000004E-2</v>
      </c>
      <c r="AN92" s="22">
        <v>0.104</v>
      </c>
      <c r="AO92" s="27">
        <f t="shared" si="66"/>
        <v>-2.0000000000000018E-2</v>
      </c>
      <c r="AP92" s="27">
        <f t="shared" si="71"/>
        <v>3.9999999999999897E-2</v>
      </c>
      <c r="AQ92" s="38" t="s">
        <v>26</v>
      </c>
    </row>
    <row r="93" spans="2:43" ht="28.8" x14ac:dyDescent="0.3">
      <c r="B93" s="10" t="s">
        <v>376</v>
      </c>
      <c r="C93" s="61"/>
      <c r="D93" s="7" t="s">
        <v>17</v>
      </c>
      <c r="E93" s="7" t="s">
        <v>316</v>
      </c>
      <c r="F93" s="8" t="s">
        <v>290</v>
      </c>
      <c r="G93" s="8" t="s">
        <v>285</v>
      </c>
      <c r="H93" s="38" t="s">
        <v>26</v>
      </c>
      <c r="J93" s="4">
        <v>4</v>
      </c>
      <c r="K93" s="4" t="s">
        <v>169</v>
      </c>
      <c r="L93" s="5">
        <v>7.0000000000000001E-3</v>
      </c>
      <c r="N93" s="22">
        <v>4</v>
      </c>
      <c r="O93" s="22">
        <v>3.9990000000000001</v>
      </c>
      <c r="P93" s="22">
        <v>4.0049999999999999</v>
      </c>
      <c r="Q93" s="27">
        <f t="shared" si="67"/>
        <v>-2.4999999999997247E-4</v>
      </c>
      <c r="R93" s="27">
        <f t="shared" si="68"/>
        <v>1.2499999999999734E-3</v>
      </c>
      <c r="S93" s="38" t="s">
        <v>26</v>
      </c>
      <c r="V93" s="22">
        <v>4</v>
      </c>
      <c r="W93" s="22">
        <v>3.9990000000000001</v>
      </c>
      <c r="X93" s="22">
        <v>4.0039999999999996</v>
      </c>
      <c r="Y93" s="27">
        <f t="shared" si="64"/>
        <v>-2.4999999999997247E-4</v>
      </c>
      <c r="Z93" s="27">
        <f t="shared" si="69"/>
        <v>9.9999999999988987E-4</v>
      </c>
      <c r="AA93" s="38" t="s">
        <v>26</v>
      </c>
      <c r="AD93" s="22">
        <v>4</v>
      </c>
      <c r="AE93" s="22">
        <v>4</v>
      </c>
      <c r="AF93" s="22">
        <v>4.008</v>
      </c>
      <c r="AG93" s="27">
        <f t="shared" si="65"/>
        <v>0</v>
      </c>
      <c r="AH93" s="27">
        <f t="shared" si="70"/>
        <v>2.0000000000000018E-3</v>
      </c>
      <c r="AI93" s="38" t="s">
        <v>26</v>
      </c>
      <c r="AL93" s="22">
        <v>4</v>
      </c>
      <c r="AM93" s="22">
        <v>4</v>
      </c>
      <c r="AN93" s="22">
        <v>4.008</v>
      </c>
      <c r="AO93" s="27">
        <f t="shared" si="66"/>
        <v>0</v>
      </c>
      <c r="AP93" s="27">
        <f t="shared" si="71"/>
        <v>2.0000000000000018E-3</v>
      </c>
      <c r="AQ93" s="38" t="s">
        <v>26</v>
      </c>
    </row>
    <row r="94" spans="2:43" ht="28.8" x14ac:dyDescent="0.3">
      <c r="B94" s="10" t="s">
        <v>377</v>
      </c>
      <c r="C94" s="61"/>
      <c r="D94" s="7" t="s">
        <v>17</v>
      </c>
      <c r="E94" s="7" t="s">
        <v>316</v>
      </c>
      <c r="F94" s="8" t="s">
        <v>290</v>
      </c>
      <c r="G94" s="8" t="s">
        <v>286</v>
      </c>
      <c r="H94" s="38" t="s">
        <v>26</v>
      </c>
      <c r="J94" s="4">
        <v>4</v>
      </c>
      <c r="K94" s="4" t="s">
        <v>169</v>
      </c>
      <c r="L94" s="5">
        <v>7.0000000000000001E-3</v>
      </c>
      <c r="N94" s="22">
        <v>4</v>
      </c>
      <c r="O94" s="22">
        <v>3.9990000000000001</v>
      </c>
      <c r="P94" s="22">
        <v>4.0060000000000002</v>
      </c>
      <c r="Q94" s="27">
        <f t="shared" si="67"/>
        <v>-2.4999999999997247E-4</v>
      </c>
      <c r="R94" s="27">
        <f t="shared" si="68"/>
        <v>1.5000000000000568E-3</v>
      </c>
      <c r="S94" s="38" t="s">
        <v>26</v>
      </c>
      <c r="V94" s="22">
        <v>4</v>
      </c>
      <c r="W94" s="22">
        <v>4</v>
      </c>
      <c r="X94" s="22">
        <v>4.0069999999999997</v>
      </c>
      <c r="Y94" s="27">
        <f t="shared" si="64"/>
        <v>0</v>
      </c>
      <c r="Z94" s="27">
        <f t="shared" si="69"/>
        <v>1.7499999999999183E-3</v>
      </c>
      <c r="AA94" s="38" t="s">
        <v>26</v>
      </c>
      <c r="AD94" s="22">
        <v>4</v>
      </c>
      <c r="AE94" s="22">
        <v>4.0030000000000001</v>
      </c>
      <c r="AF94" s="22">
        <v>4.0110000000000001</v>
      </c>
      <c r="AG94" s="27">
        <f t="shared" si="65"/>
        <v>7.5000000000002842E-4</v>
      </c>
      <c r="AH94" s="27">
        <f t="shared" si="70"/>
        <v>2.7500000000000302E-3</v>
      </c>
      <c r="AI94" s="38" t="s">
        <v>26</v>
      </c>
      <c r="AL94" s="22">
        <v>4</v>
      </c>
      <c r="AM94" s="22">
        <v>4.0030000000000001</v>
      </c>
      <c r="AN94" s="22">
        <v>4.0110000000000001</v>
      </c>
      <c r="AO94" s="27">
        <f t="shared" si="66"/>
        <v>7.5000000000002842E-4</v>
      </c>
      <c r="AP94" s="27">
        <f t="shared" si="71"/>
        <v>2.7500000000000302E-3</v>
      </c>
      <c r="AQ94" s="38" t="s">
        <v>26</v>
      </c>
    </row>
    <row r="95" spans="2:43" ht="28.8" x14ac:dyDescent="0.3">
      <c r="B95" s="10" t="s">
        <v>378</v>
      </c>
      <c r="C95" s="61"/>
      <c r="D95" s="7" t="s">
        <v>17</v>
      </c>
      <c r="E95" s="7" t="s">
        <v>316</v>
      </c>
      <c r="F95" s="8" t="s">
        <v>290</v>
      </c>
      <c r="G95" s="8" t="s">
        <v>287</v>
      </c>
      <c r="H95" s="38" t="s">
        <v>26</v>
      </c>
      <c r="J95" s="4">
        <v>4</v>
      </c>
      <c r="K95" s="4" t="s">
        <v>169</v>
      </c>
      <c r="L95" s="5">
        <v>7.0000000000000001E-3</v>
      </c>
      <c r="N95" s="22">
        <v>4</v>
      </c>
      <c r="O95" s="22">
        <v>3.9990000000000001</v>
      </c>
      <c r="P95" s="22">
        <v>4.0049999999999999</v>
      </c>
      <c r="Q95" s="27">
        <f t="shared" si="67"/>
        <v>-2.4999999999997247E-4</v>
      </c>
      <c r="R95" s="27">
        <f t="shared" si="68"/>
        <v>1.2499999999999734E-3</v>
      </c>
      <c r="S95" s="38" t="s">
        <v>26</v>
      </c>
      <c r="V95" s="22">
        <v>4</v>
      </c>
      <c r="W95" s="22">
        <v>4.0010000000000003</v>
      </c>
      <c r="X95" s="22">
        <v>4.0039999999999996</v>
      </c>
      <c r="Y95" s="27">
        <f t="shared" si="64"/>
        <v>2.5000000000008349E-4</v>
      </c>
      <c r="Z95" s="27">
        <f t="shared" si="69"/>
        <v>9.9999999999988987E-4</v>
      </c>
      <c r="AA95" s="38" t="s">
        <v>26</v>
      </c>
      <c r="AD95" s="22">
        <v>4</v>
      </c>
      <c r="AE95" s="22">
        <v>4.0010000000000003</v>
      </c>
      <c r="AF95" s="22">
        <v>4.0129999999999999</v>
      </c>
      <c r="AG95" s="27">
        <f t="shared" si="65"/>
        <v>2.5000000000008349E-4</v>
      </c>
      <c r="AH95" s="27">
        <f t="shared" si="70"/>
        <v>3.2499999999999751E-3</v>
      </c>
      <c r="AI95" s="38" t="s">
        <v>26</v>
      </c>
      <c r="AL95" s="22">
        <v>4</v>
      </c>
      <c r="AM95" s="22">
        <v>4.0010000000000003</v>
      </c>
      <c r="AN95" s="22">
        <v>4.0129999999999999</v>
      </c>
      <c r="AO95" s="27">
        <f t="shared" si="66"/>
        <v>2.5000000000008349E-4</v>
      </c>
      <c r="AP95" s="27">
        <f t="shared" si="71"/>
        <v>3.2499999999999751E-3</v>
      </c>
      <c r="AQ95" s="38" t="s">
        <v>26</v>
      </c>
    </row>
    <row r="96" spans="2:43" ht="28.8" x14ac:dyDescent="0.3">
      <c r="B96" s="10" t="s">
        <v>379</v>
      </c>
      <c r="C96" s="61"/>
      <c r="D96" s="7" t="s">
        <v>17</v>
      </c>
      <c r="E96" s="7" t="s">
        <v>316</v>
      </c>
      <c r="F96" s="8" t="s">
        <v>290</v>
      </c>
      <c r="G96" s="8" t="s">
        <v>288</v>
      </c>
      <c r="H96" s="38" t="s">
        <v>26</v>
      </c>
      <c r="J96" s="4">
        <v>4</v>
      </c>
      <c r="K96" s="4" t="s">
        <v>169</v>
      </c>
      <c r="L96" s="5">
        <v>7.0000000000000001E-3</v>
      </c>
      <c r="N96" s="22">
        <v>4</v>
      </c>
      <c r="O96" s="22">
        <v>3.9990000000000001</v>
      </c>
      <c r="P96" s="22">
        <v>4.0039999999999996</v>
      </c>
      <c r="Q96" s="27">
        <f t="shared" si="67"/>
        <v>-2.4999999999997247E-4</v>
      </c>
      <c r="R96" s="27">
        <f t="shared" si="68"/>
        <v>9.9999999999988987E-4</v>
      </c>
      <c r="S96" s="38" t="s">
        <v>26</v>
      </c>
      <c r="V96" s="22">
        <v>4</v>
      </c>
      <c r="W96" s="22">
        <v>3.9990000000000001</v>
      </c>
      <c r="X96" s="22">
        <v>4.0060000000000002</v>
      </c>
      <c r="Y96" s="27">
        <f t="shared" si="64"/>
        <v>-2.4999999999997247E-4</v>
      </c>
      <c r="Z96" s="27">
        <f t="shared" si="69"/>
        <v>1.5000000000000568E-3</v>
      </c>
      <c r="AA96" s="38" t="s">
        <v>26</v>
      </c>
      <c r="AD96" s="22">
        <v>4</v>
      </c>
      <c r="AE96" s="22">
        <v>3.9940000000000002</v>
      </c>
      <c r="AF96" s="22">
        <v>4.008</v>
      </c>
      <c r="AG96" s="27">
        <f t="shared" si="65"/>
        <v>-1.4999999999999458E-3</v>
      </c>
      <c r="AH96" s="27">
        <f t="shared" si="70"/>
        <v>2.0000000000000018E-3</v>
      </c>
      <c r="AI96" s="38" t="s">
        <v>26</v>
      </c>
      <c r="AL96" s="22">
        <v>4</v>
      </c>
      <c r="AM96" s="22">
        <v>3.9940000000000002</v>
      </c>
      <c r="AN96" s="22">
        <v>4.008</v>
      </c>
      <c r="AO96" s="27">
        <f t="shared" si="66"/>
        <v>-1.4999999999999458E-3</v>
      </c>
      <c r="AP96" s="27">
        <f t="shared" si="71"/>
        <v>2.0000000000000018E-3</v>
      </c>
      <c r="AQ96" s="38" t="s">
        <v>26</v>
      </c>
    </row>
    <row r="97" spans="2:43" ht="28.8" x14ac:dyDescent="0.3">
      <c r="B97" s="10" t="s">
        <v>380</v>
      </c>
      <c r="C97" s="61"/>
      <c r="D97" s="7" t="s">
        <v>17</v>
      </c>
      <c r="E97" s="8" t="s">
        <v>317</v>
      </c>
      <c r="F97" s="8" t="s">
        <v>291</v>
      </c>
      <c r="G97" s="8" t="s">
        <v>285</v>
      </c>
      <c r="H97" s="38" t="s">
        <v>26</v>
      </c>
      <c r="J97" s="4">
        <v>0.1</v>
      </c>
      <c r="K97" s="4" t="s">
        <v>169</v>
      </c>
      <c r="L97" s="5">
        <v>6.9000000000000006E-2</v>
      </c>
      <c r="N97" s="26">
        <v>9.7600000000000006E-2</v>
      </c>
      <c r="Q97" s="27">
        <f t="shared" ref="Q97:Q104" si="72">(N97-$J97)/$J97</f>
        <v>-2.3999999999999994E-2</v>
      </c>
      <c r="R97" s="27"/>
      <c r="S97" s="38" t="s">
        <v>26</v>
      </c>
      <c r="V97" s="26">
        <v>9.7699999999999995E-2</v>
      </c>
      <c r="Y97" s="27">
        <f t="shared" ref="Y97:Y104" si="73">(V97-$J97)/$J97</f>
        <v>-2.3000000000000104E-2</v>
      </c>
      <c r="Z97" s="27"/>
      <c r="AA97" s="38" t="s">
        <v>26</v>
      </c>
      <c r="AD97" s="26">
        <v>9.7600000000000006E-2</v>
      </c>
      <c r="AE97" s="26"/>
      <c r="AG97" s="27">
        <f t="shared" ref="AG97:AG104" si="74">(AD97-$J97)/$J97</f>
        <v>-2.3999999999999994E-2</v>
      </c>
      <c r="AH97" s="27"/>
      <c r="AI97" s="38" t="s">
        <v>26</v>
      </c>
      <c r="AL97" s="26">
        <v>9.7600000000000006E-2</v>
      </c>
      <c r="AM97" s="26"/>
      <c r="AO97" s="27">
        <f t="shared" ref="AO97:AO104" si="75">(AL97-$J97)/$J97</f>
        <v>-2.3999999999999994E-2</v>
      </c>
      <c r="AP97" s="27"/>
      <c r="AQ97" s="38" t="s">
        <v>26</v>
      </c>
    </row>
    <row r="98" spans="2:43" ht="28.8" x14ac:dyDescent="0.3">
      <c r="B98" s="10" t="s">
        <v>381</v>
      </c>
      <c r="C98" s="61"/>
      <c r="D98" s="7" t="s">
        <v>17</v>
      </c>
      <c r="E98" s="8" t="s">
        <v>317</v>
      </c>
      <c r="F98" s="8" t="s">
        <v>291</v>
      </c>
      <c r="G98" s="8" t="s">
        <v>286</v>
      </c>
      <c r="H98" s="38" t="s">
        <v>26</v>
      </c>
      <c r="J98" s="4">
        <v>0.1</v>
      </c>
      <c r="K98" s="4" t="s">
        <v>169</v>
      </c>
      <c r="L98" s="5">
        <v>6.9000000000000006E-2</v>
      </c>
      <c r="N98" s="26">
        <v>9.8100000000000007E-2</v>
      </c>
      <c r="Q98" s="27">
        <f t="shared" si="72"/>
        <v>-1.8999999999999989E-2</v>
      </c>
      <c r="R98" s="27"/>
      <c r="S98" s="38" t="s">
        <v>26</v>
      </c>
      <c r="V98" s="26">
        <v>9.8100000000000007E-2</v>
      </c>
      <c r="Y98" s="27">
        <f t="shared" si="73"/>
        <v>-1.8999999999999989E-2</v>
      </c>
      <c r="Z98" s="27"/>
      <c r="AA98" s="38" t="s">
        <v>26</v>
      </c>
      <c r="AD98" s="26">
        <v>9.8000000000000004E-2</v>
      </c>
      <c r="AE98" s="26"/>
      <c r="AG98" s="27">
        <f t="shared" si="74"/>
        <v>-2.0000000000000018E-2</v>
      </c>
      <c r="AH98" s="27"/>
      <c r="AI98" s="38" t="s">
        <v>26</v>
      </c>
      <c r="AL98" s="26">
        <v>9.8000000000000004E-2</v>
      </c>
      <c r="AM98" s="26"/>
      <c r="AO98" s="27">
        <f t="shared" si="75"/>
        <v>-2.0000000000000018E-2</v>
      </c>
      <c r="AP98" s="27"/>
      <c r="AQ98" s="38" t="s">
        <v>26</v>
      </c>
    </row>
    <row r="99" spans="2:43" ht="28.8" x14ac:dyDescent="0.3">
      <c r="B99" s="10" t="s">
        <v>382</v>
      </c>
      <c r="C99" s="61"/>
      <c r="D99" s="7" t="s">
        <v>17</v>
      </c>
      <c r="E99" s="8" t="s">
        <v>317</v>
      </c>
      <c r="F99" s="8" t="s">
        <v>291</v>
      </c>
      <c r="G99" s="8" t="s">
        <v>287</v>
      </c>
      <c r="H99" s="38" t="s">
        <v>26</v>
      </c>
      <c r="J99" s="4">
        <v>0.1</v>
      </c>
      <c r="K99" s="4" t="s">
        <v>169</v>
      </c>
      <c r="L99" s="5">
        <v>6.9000000000000006E-2</v>
      </c>
      <c r="N99" s="26">
        <v>9.7900000000000001E-2</v>
      </c>
      <c r="Q99" s="27">
        <f t="shared" si="72"/>
        <v>-2.1000000000000046E-2</v>
      </c>
      <c r="R99" s="27"/>
      <c r="S99" s="38" t="s">
        <v>26</v>
      </c>
      <c r="V99" s="26">
        <v>9.7900000000000001E-2</v>
      </c>
      <c r="Y99" s="27">
        <f t="shared" si="73"/>
        <v>-2.1000000000000046E-2</v>
      </c>
      <c r="Z99" s="27"/>
      <c r="AA99" s="38" t="s">
        <v>26</v>
      </c>
      <c r="AD99" s="26">
        <v>9.8199999999999996E-2</v>
      </c>
      <c r="AE99" s="26"/>
      <c r="AG99" s="27">
        <f t="shared" si="74"/>
        <v>-1.8000000000000099E-2</v>
      </c>
      <c r="AH99" s="27"/>
      <c r="AI99" s="38" t="s">
        <v>26</v>
      </c>
      <c r="AL99" s="26">
        <v>9.8199999999999996E-2</v>
      </c>
      <c r="AM99" s="26"/>
      <c r="AO99" s="27">
        <f t="shared" si="75"/>
        <v>-1.8000000000000099E-2</v>
      </c>
      <c r="AP99" s="27"/>
      <c r="AQ99" s="38" t="s">
        <v>26</v>
      </c>
    </row>
    <row r="100" spans="2:43" ht="28.8" x14ac:dyDescent="0.3">
      <c r="B100" s="10" t="s">
        <v>383</v>
      </c>
      <c r="C100" s="61"/>
      <c r="D100" s="7" t="s">
        <v>17</v>
      </c>
      <c r="E100" s="8" t="s">
        <v>317</v>
      </c>
      <c r="F100" s="8" t="s">
        <v>291</v>
      </c>
      <c r="G100" s="8" t="s">
        <v>288</v>
      </c>
      <c r="H100" s="38" t="s">
        <v>26</v>
      </c>
      <c r="J100" s="4">
        <v>0.1</v>
      </c>
      <c r="K100" s="4" t="s">
        <v>169</v>
      </c>
      <c r="L100" s="5">
        <v>6.9000000000000006E-2</v>
      </c>
      <c r="N100" s="26">
        <v>9.8100000000000007E-2</v>
      </c>
      <c r="Q100" s="27">
        <f t="shared" si="72"/>
        <v>-1.8999999999999989E-2</v>
      </c>
      <c r="R100" s="27"/>
      <c r="S100" s="38" t="s">
        <v>26</v>
      </c>
      <c r="V100" s="26">
        <v>9.8100000000000007E-2</v>
      </c>
      <c r="Y100" s="27">
        <f t="shared" si="73"/>
        <v>-1.8999999999999989E-2</v>
      </c>
      <c r="Z100" s="27"/>
      <c r="AA100" s="38" t="s">
        <v>26</v>
      </c>
      <c r="AD100" s="26">
        <v>9.7500000000000003E-2</v>
      </c>
      <c r="AE100" s="26"/>
      <c r="AG100" s="27">
        <f t="shared" si="74"/>
        <v>-2.5000000000000022E-2</v>
      </c>
      <c r="AH100" s="27"/>
      <c r="AI100" s="38" t="s">
        <v>26</v>
      </c>
      <c r="AL100" s="26">
        <v>9.7500000000000003E-2</v>
      </c>
      <c r="AM100" s="26"/>
      <c r="AO100" s="27">
        <f t="shared" si="75"/>
        <v>-2.5000000000000022E-2</v>
      </c>
      <c r="AP100" s="27"/>
      <c r="AQ100" s="38" t="s">
        <v>26</v>
      </c>
    </row>
    <row r="101" spans="2:43" ht="28.8" x14ac:dyDescent="0.3">
      <c r="B101" s="10" t="s">
        <v>384</v>
      </c>
      <c r="C101" s="61"/>
      <c r="D101" s="7" t="s">
        <v>17</v>
      </c>
      <c r="E101" s="8" t="s">
        <v>317</v>
      </c>
      <c r="F101" s="8" t="s">
        <v>292</v>
      </c>
      <c r="G101" s="8" t="s">
        <v>285</v>
      </c>
      <c r="H101" s="38" t="s">
        <v>26</v>
      </c>
      <c r="J101" s="4">
        <v>4</v>
      </c>
      <c r="K101" s="4" t="s">
        <v>169</v>
      </c>
      <c r="L101" s="5">
        <v>5.4999999999999997E-3</v>
      </c>
      <c r="N101" s="22">
        <v>3.996</v>
      </c>
      <c r="Q101" s="27">
        <f t="shared" si="72"/>
        <v>-1.0000000000000009E-3</v>
      </c>
      <c r="R101" s="27"/>
      <c r="S101" s="38" t="s">
        <v>26</v>
      </c>
      <c r="V101" s="22">
        <v>3.996</v>
      </c>
      <c r="Y101" s="27">
        <f t="shared" si="73"/>
        <v>-1.0000000000000009E-3</v>
      </c>
      <c r="Z101" s="27"/>
      <c r="AA101" s="38" t="s">
        <v>26</v>
      </c>
      <c r="AD101" s="22">
        <v>3.992</v>
      </c>
      <c r="AG101" s="27">
        <f t="shared" si="74"/>
        <v>-2.0000000000000018E-3</v>
      </c>
      <c r="AH101" s="27"/>
      <c r="AI101" s="38" t="s">
        <v>26</v>
      </c>
      <c r="AL101" s="22">
        <v>3.992</v>
      </c>
      <c r="AO101" s="27">
        <f t="shared" si="75"/>
        <v>-2.0000000000000018E-3</v>
      </c>
      <c r="AP101" s="27"/>
      <c r="AQ101" s="38" t="s">
        <v>26</v>
      </c>
    </row>
    <row r="102" spans="2:43" ht="28.8" x14ac:dyDescent="0.3">
      <c r="B102" s="10" t="s">
        <v>385</v>
      </c>
      <c r="C102" s="61"/>
      <c r="D102" s="7" t="s">
        <v>17</v>
      </c>
      <c r="E102" s="8" t="s">
        <v>317</v>
      </c>
      <c r="F102" s="8" t="s">
        <v>292</v>
      </c>
      <c r="G102" s="8" t="s">
        <v>286</v>
      </c>
      <c r="H102" s="38" t="s">
        <v>26</v>
      </c>
      <c r="J102" s="4">
        <v>4</v>
      </c>
      <c r="K102" s="4" t="s">
        <v>169</v>
      </c>
      <c r="L102" s="5">
        <v>5.4999999999999997E-3</v>
      </c>
      <c r="N102" s="22">
        <v>3.996</v>
      </c>
      <c r="Q102" s="27">
        <f t="shared" si="72"/>
        <v>-1.0000000000000009E-3</v>
      </c>
      <c r="R102" s="27"/>
      <c r="S102" s="38" t="s">
        <v>26</v>
      </c>
      <c r="V102" s="22">
        <v>3.996</v>
      </c>
      <c r="Y102" s="27">
        <f t="shared" si="73"/>
        <v>-1.0000000000000009E-3</v>
      </c>
      <c r="Z102" s="27"/>
      <c r="AA102" s="38" t="s">
        <v>26</v>
      </c>
      <c r="AD102" s="22">
        <v>3.9929999999999999</v>
      </c>
      <c r="AG102" s="27">
        <f t="shared" si="74"/>
        <v>-1.7500000000000293E-3</v>
      </c>
      <c r="AH102" s="27"/>
      <c r="AI102" s="38" t="s">
        <v>26</v>
      </c>
      <c r="AL102" s="22">
        <v>3.9929999999999999</v>
      </c>
      <c r="AO102" s="27">
        <f t="shared" si="75"/>
        <v>-1.7500000000000293E-3</v>
      </c>
      <c r="AP102" s="27"/>
      <c r="AQ102" s="38" t="s">
        <v>26</v>
      </c>
    </row>
    <row r="103" spans="2:43" ht="28.8" x14ac:dyDescent="0.3">
      <c r="B103" s="10" t="s">
        <v>386</v>
      </c>
      <c r="C103" s="61"/>
      <c r="D103" s="7" t="s">
        <v>17</v>
      </c>
      <c r="E103" s="8" t="s">
        <v>317</v>
      </c>
      <c r="F103" s="8" t="s">
        <v>292</v>
      </c>
      <c r="G103" s="8" t="s">
        <v>287</v>
      </c>
      <c r="H103" s="38" t="s">
        <v>26</v>
      </c>
      <c r="J103" s="4">
        <v>4</v>
      </c>
      <c r="K103" s="4" t="s">
        <v>169</v>
      </c>
      <c r="L103" s="5">
        <v>5.4999999999999997E-3</v>
      </c>
      <c r="N103" s="22">
        <v>3.996</v>
      </c>
      <c r="Q103" s="27">
        <f t="shared" si="72"/>
        <v>-1.0000000000000009E-3</v>
      </c>
      <c r="R103" s="27"/>
      <c r="S103" s="38" t="s">
        <v>26</v>
      </c>
      <c r="V103" s="22">
        <v>3.996</v>
      </c>
      <c r="Y103" s="27">
        <f t="shared" si="73"/>
        <v>-1.0000000000000009E-3</v>
      </c>
      <c r="Z103" s="27"/>
      <c r="AA103" s="38" t="s">
        <v>26</v>
      </c>
      <c r="AD103" s="22">
        <v>3.9929999999999999</v>
      </c>
      <c r="AG103" s="27">
        <f t="shared" si="74"/>
        <v>-1.7500000000000293E-3</v>
      </c>
      <c r="AH103" s="27"/>
      <c r="AI103" s="38" t="s">
        <v>26</v>
      </c>
      <c r="AL103" s="22">
        <v>3.9929999999999999</v>
      </c>
      <c r="AO103" s="27">
        <f t="shared" si="75"/>
        <v>-1.7500000000000293E-3</v>
      </c>
      <c r="AP103" s="27"/>
      <c r="AQ103" s="38" t="s">
        <v>26</v>
      </c>
    </row>
    <row r="104" spans="2:43" ht="28.8" x14ac:dyDescent="0.3">
      <c r="B104" s="10" t="s">
        <v>387</v>
      </c>
      <c r="C104" s="61"/>
      <c r="D104" s="7" t="s">
        <v>17</v>
      </c>
      <c r="E104" s="8" t="s">
        <v>317</v>
      </c>
      <c r="F104" s="8" t="s">
        <v>292</v>
      </c>
      <c r="G104" s="8" t="s">
        <v>288</v>
      </c>
      <c r="H104" s="38" t="s">
        <v>26</v>
      </c>
      <c r="J104" s="4">
        <v>4</v>
      </c>
      <c r="K104" s="4" t="s">
        <v>169</v>
      </c>
      <c r="L104" s="5">
        <v>5.4999999999999997E-3</v>
      </c>
      <c r="N104" s="22">
        <v>3.996</v>
      </c>
      <c r="Q104" s="27">
        <f t="shared" si="72"/>
        <v>-1.0000000000000009E-3</v>
      </c>
      <c r="R104" s="27"/>
      <c r="S104" s="38" t="s">
        <v>26</v>
      </c>
      <c r="V104" s="22">
        <v>3.996</v>
      </c>
      <c r="Y104" s="27">
        <f t="shared" si="73"/>
        <v>-1.0000000000000009E-3</v>
      </c>
      <c r="Z104" s="27"/>
      <c r="AA104" s="38" t="s">
        <v>26</v>
      </c>
      <c r="AD104" s="22">
        <v>3.992</v>
      </c>
      <c r="AG104" s="27">
        <f t="shared" si="74"/>
        <v>-2.0000000000000018E-3</v>
      </c>
      <c r="AH104" s="27"/>
      <c r="AI104" s="38" t="s">
        <v>26</v>
      </c>
      <c r="AL104" s="22">
        <v>3.992</v>
      </c>
      <c r="AO104" s="27">
        <f t="shared" si="75"/>
        <v>-2.0000000000000018E-3</v>
      </c>
      <c r="AP104" s="27"/>
      <c r="AQ104" s="38" t="s">
        <v>26</v>
      </c>
    </row>
    <row r="105" spans="2:43" ht="28.8" x14ac:dyDescent="0.3">
      <c r="B105" s="10" t="s">
        <v>388</v>
      </c>
      <c r="C105" s="61"/>
      <c r="D105" s="8" t="s">
        <v>237</v>
      </c>
      <c r="E105" s="7" t="s">
        <v>316</v>
      </c>
      <c r="F105" s="8" t="s">
        <v>239</v>
      </c>
      <c r="G105" s="8" t="s">
        <v>238</v>
      </c>
      <c r="H105" s="38" t="s">
        <v>26</v>
      </c>
      <c r="J105" s="4">
        <v>0.1</v>
      </c>
      <c r="K105" s="4" t="s">
        <v>169</v>
      </c>
      <c r="L105" s="5">
        <v>0.09</v>
      </c>
      <c r="N105" s="22">
        <v>0.1</v>
      </c>
      <c r="O105" s="22">
        <v>9.6000000000000002E-2</v>
      </c>
      <c r="P105" s="22">
        <v>0.104</v>
      </c>
      <c r="Q105" s="27">
        <f t="shared" ref="Q105" si="76">(O105-$N105)/$N105</f>
        <v>-4.0000000000000036E-2</v>
      </c>
      <c r="R105" s="27">
        <f t="shared" ref="R105" si="77">(P105-$N105)/$N105</f>
        <v>3.9999999999999897E-2</v>
      </c>
      <c r="S105" s="38" t="s">
        <v>26</v>
      </c>
      <c r="V105" s="22">
        <v>0.1</v>
      </c>
      <c r="W105" s="22">
        <v>9.8000000000000004E-2</v>
      </c>
      <c r="X105" s="22">
        <v>0.104</v>
      </c>
      <c r="Y105" s="27">
        <f t="shared" ref="Y105:Y128" si="78">(W105-$V105)/$V105</f>
        <v>-2.0000000000000018E-2</v>
      </c>
      <c r="Z105" s="27">
        <f t="shared" ref="Z105:Z128" si="79">(X105-$V105)/$V105</f>
        <v>3.9999999999999897E-2</v>
      </c>
      <c r="AA105" s="38" t="s">
        <v>26</v>
      </c>
      <c r="AD105" s="22">
        <v>0.1</v>
      </c>
      <c r="AE105" s="22">
        <v>9.9000000000000005E-2</v>
      </c>
      <c r="AF105" s="22">
        <v>0.107</v>
      </c>
      <c r="AG105" s="27">
        <f t="shared" ref="AG105:AG128" si="80">(AE105-$V105)/$V105</f>
        <v>-1.0000000000000009E-2</v>
      </c>
      <c r="AH105" s="27">
        <f t="shared" ref="AH105:AH128" si="81">(AF105-$V105)/$V105</f>
        <v>6.9999999999999923E-2</v>
      </c>
      <c r="AI105" s="38" t="s">
        <v>26</v>
      </c>
      <c r="AL105" s="22">
        <v>0.1</v>
      </c>
      <c r="AM105" s="22">
        <v>9.9000000000000005E-2</v>
      </c>
      <c r="AN105" s="22">
        <v>0.107</v>
      </c>
      <c r="AO105" s="27">
        <f t="shared" ref="AO105:AO128" si="82">(AM105-$V105)/$V105</f>
        <v>-1.0000000000000009E-2</v>
      </c>
      <c r="AP105" s="27">
        <f t="shared" ref="AP105:AP128" si="83">(AN105-$V105)/$V105</f>
        <v>6.9999999999999923E-2</v>
      </c>
      <c r="AQ105" s="38" t="s">
        <v>26</v>
      </c>
    </row>
    <row r="106" spans="2:43" ht="28.8" x14ac:dyDescent="0.3">
      <c r="B106" s="10" t="s">
        <v>389</v>
      </c>
      <c r="C106" s="61"/>
      <c r="D106" s="8" t="s">
        <v>237</v>
      </c>
      <c r="E106" s="7" t="s">
        <v>316</v>
      </c>
      <c r="F106" s="8" t="s">
        <v>239</v>
      </c>
      <c r="G106" s="8" t="s">
        <v>155</v>
      </c>
      <c r="H106" s="38" t="s">
        <v>26</v>
      </c>
      <c r="J106" s="4">
        <v>0.1</v>
      </c>
      <c r="K106" s="4" t="s">
        <v>169</v>
      </c>
      <c r="L106" s="5">
        <v>0.09</v>
      </c>
      <c r="N106" s="22">
        <v>0.1</v>
      </c>
      <c r="O106" s="22">
        <v>9.7000000000000003E-2</v>
      </c>
      <c r="P106" s="22">
        <v>0.10299999999999999</v>
      </c>
      <c r="Q106" s="27">
        <f t="shared" ref="Q106" si="84">(O106-$N106)/$N106</f>
        <v>-3.0000000000000027E-2</v>
      </c>
      <c r="R106" s="27">
        <f t="shared" ref="R106" si="85">(P106-$N106)/$N106</f>
        <v>2.9999999999999888E-2</v>
      </c>
      <c r="S106" s="38" t="s">
        <v>26</v>
      </c>
      <c r="V106" s="22">
        <v>0.1</v>
      </c>
      <c r="W106" s="22">
        <v>9.9000000000000005E-2</v>
      </c>
      <c r="X106" s="22">
        <v>0.104</v>
      </c>
      <c r="Y106" s="27">
        <f t="shared" si="78"/>
        <v>-1.0000000000000009E-2</v>
      </c>
      <c r="Z106" s="27">
        <f t="shared" si="79"/>
        <v>3.9999999999999897E-2</v>
      </c>
      <c r="AA106" s="38" t="s">
        <v>26</v>
      </c>
      <c r="AD106" s="22">
        <v>0.1</v>
      </c>
      <c r="AE106" s="22">
        <v>9.9000000000000005E-2</v>
      </c>
      <c r="AF106" s="22">
        <v>0.104</v>
      </c>
      <c r="AG106" s="27">
        <f t="shared" si="80"/>
        <v>-1.0000000000000009E-2</v>
      </c>
      <c r="AH106" s="27">
        <f t="shared" si="81"/>
        <v>3.9999999999999897E-2</v>
      </c>
      <c r="AI106" s="38" t="s">
        <v>26</v>
      </c>
      <c r="AL106" s="22">
        <v>0.1</v>
      </c>
      <c r="AM106" s="22">
        <v>9.9000000000000005E-2</v>
      </c>
      <c r="AN106" s="22">
        <v>0.104</v>
      </c>
      <c r="AO106" s="27">
        <f t="shared" si="82"/>
        <v>-1.0000000000000009E-2</v>
      </c>
      <c r="AP106" s="27">
        <f t="shared" si="83"/>
        <v>3.9999999999999897E-2</v>
      </c>
      <c r="AQ106" s="38" t="s">
        <v>26</v>
      </c>
    </row>
    <row r="107" spans="2:43" ht="28.8" x14ac:dyDescent="0.3">
      <c r="B107" s="10" t="s">
        <v>390</v>
      </c>
      <c r="C107" s="61"/>
      <c r="D107" s="8" t="s">
        <v>237</v>
      </c>
      <c r="E107" s="7" t="s">
        <v>316</v>
      </c>
      <c r="F107" s="8" t="s">
        <v>239</v>
      </c>
      <c r="G107" s="8" t="s">
        <v>156</v>
      </c>
      <c r="H107" s="38" t="s">
        <v>26</v>
      </c>
      <c r="J107" s="4">
        <v>0.1</v>
      </c>
      <c r="K107" s="4" t="s">
        <v>169</v>
      </c>
      <c r="L107" s="5">
        <v>0.09</v>
      </c>
      <c r="N107" s="22">
        <v>0.1</v>
      </c>
      <c r="O107" s="22">
        <v>9.7000000000000003E-2</v>
      </c>
      <c r="P107" s="22">
        <v>0.10299999999999999</v>
      </c>
      <c r="Q107" s="27">
        <f t="shared" ref="Q107:Q108" si="86">(O107-$N107)/$N107</f>
        <v>-3.0000000000000027E-2</v>
      </c>
      <c r="R107" s="27">
        <f t="shared" ref="R107:R108" si="87">(P107-$N107)/$N107</f>
        <v>2.9999999999999888E-2</v>
      </c>
      <c r="S107" s="38" t="s">
        <v>26</v>
      </c>
      <c r="V107" s="22">
        <v>0.1</v>
      </c>
      <c r="W107" s="22">
        <v>9.8000000000000004E-2</v>
      </c>
      <c r="X107" s="22">
        <v>0.10299999999999999</v>
      </c>
      <c r="Y107" s="27">
        <f t="shared" si="78"/>
        <v>-2.0000000000000018E-2</v>
      </c>
      <c r="Z107" s="27">
        <f t="shared" si="79"/>
        <v>2.9999999999999888E-2</v>
      </c>
      <c r="AA107" s="38" t="s">
        <v>26</v>
      </c>
      <c r="AD107" s="22">
        <v>0.1</v>
      </c>
      <c r="AE107" s="22">
        <v>9.9000000000000005E-2</v>
      </c>
      <c r="AF107" s="22">
        <v>0.106</v>
      </c>
      <c r="AG107" s="27">
        <f t="shared" si="80"/>
        <v>-1.0000000000000009E-2</v>
      </c>
      <c r="AH107" s="27">
        <f t="shared" si="81"/>
        <v>5.9999999999999915E-2</v>
      </c>
      <c r="AI107" s="38" t="s">
        <v>26</v>
      </c>
      <c r="AL107" s="22">
        <v>0.1</v>
      </c>
      <c r="AM107" s="22">
        <v>9.9000000000000005E-2</v>
      </c>
      <c r="AN107" s="22">
        <v>0.106</v>
      </c>
      <c r="AO107" s="27">
        <f t="shared" si="82"/>
        <v>-1.0000000000000009E-2</v>
      </c>
      <c r="AP107" s="27">
        <f t="shared" si="83"/>
        <v>5.9999999999999915E-2</v>
      </c>
      <c r="AQ107" s="38" t="s">
        <v>26</v>
      </c>
    </row>
    <row r="108" spans="2:43" ht="28.8" x14ac:dyDescent="0.3">
      <c r="B108" s="10" t="s">
        <v>391</v>
      </c>
      <c r="C108" s="61"/>
      <c r="D108" s="8" t="s">
        <v>237</v>
      </c>
      <c r="E108" s="7" t="s">
        <v>316</v>
      </c>
      <c r="F108" s="8" t="s">
        <v>239</v>
      </c>
      <c r="G108" s="8" t="s">
        <v>157</v>
      </c>
      <c r="H108" s="38" t="s">
        <v>26</v>
      </c>
      <c r="J108" s="4">
        <v>0.1</v>
      </c>
      <c r="K108" s="4" t="s">
        <v>169</v>
      </c>
      <c r="L108" s="5">
        <v>0.09</v>
      </c>
      <c r="N108" s="22">
        <v>0.1</v>
      </c>
      <c r="O108" s="22">
        <v>9.9000000000000005E-2</v>
      </c>
      <c r="P108" s="22">
        <v>0.10299999999999999</v>
      </c>
      <c r="Q108" s="27">
        <f t="shared" si="86"/>
        <v>-1.0000000000000009E-2</v>
      </c>
      <c r="R108" s="27">
        <f t="shared" si="87"/>
        <v>2.9999999999999888E-2</v>
      </c>
      <c r="S108" s="38" t="s">
        <v>26</v>
      </c>
      <c r="V108" s="22">
        <v>0.1</v>
      </c>
      <c r="W108" s="22">
        <v>9.8000000000000004E-2</v>
      </c>
      <c r="X108" s="22">
        <v>0.106</v>
      </c>
      <c r="Y108" s="27">
        <f t="shared" si="78"/>
        <v>-2.0000000000000018E-2</v>
      </c>
      <c r="Z108" s="27">
        <f t="shared" si="79"/>
        <v>5.9999999999999915E-2</v>
      </c>
      <c r="AA108" s="38" t="s">
        <v>26</v>
      </c>
      <c r="AD108" s="22">
        <v>0.1</v>
      </c>
      <c r="AE108" s="22">
        <v>9.5000000000000001E-2</v>
      </c>
      <c r="AF108" s="22">
        <v>0.108</v>
      </c>
      <c r="AG108" s="27">
        <f t="shared" si="80"/>
        <v>-5.0000000000000044E-2</v>
      </c>
      <c r="AH108" s="27">
        <f t="shared" si="81"/>
        <v>7.9999999999999932E-2</v>
      </c>
      <c r="AI108" s="38" t="s">
        <v>26</v>
      </c>
      <c r="AL108" s="22">
        <v>0.1</v>
      </c>
      <c r="AM108" s="22">
        <v>9.5000000000000001E-2</v>
      </c>
      <c r="AN108" s="22">
        <v>0.108</v>
      </c>
      <c r="AO108" s="27">
        <f t="shared" si="82"/>
        <v>-5.0000000000000044E-2</v>
      </c>
      <c r="AP108" s="27">
        <f t="shared" si="83"/>
        <v>7.9999999999999932E-2</v>
      </c>
      <c r="AQ108" s="38" t="s">
        <v>26</v>
      </c>
    </row>
    <row r="109" spans="2:43" ht="28.8" x14ac:dyDescent="0.3">
      <c r="B109" s="10" t="s">
        <v>392</v>
      </c>
      <c r="C109" s="61"/>
      <c r="D109" s="8" t="s">
        <v>237</v>
      </c>
      <c r="E109" s="7" t="s">
        <v>316</v>
      </c>
      <c r="F109" s="8" t="s">
        <v>239</v>
      </c>
      <c r="G109" s="8" t="s">
        <v>158</v>
      </c>
      <c r="H109" s="38" t="s">
        <v>26</v>
      </c>
      <c r="J109" s="4">
        <v>0.1</v>
      </c>
      <c r="K109" s="4" t="s">
        <v>169</v>
      </c>
      <c r="L109" s="5">
        <v>0.09</v>
      </c>
      <c r="N109" s="22">
        <v>0.1</v>
      </c>
      <c r="O109" s="22">
        <v>9.6000000000000002E-2</v>
      </c>
      <c r="P109" s="22">
        <v>0.10299999999999999</v>
      </c>
      <c r="Q109" s="27">
        <f t="shared" ref="Q109" si="88">(O109-$N109)/$N109</f>
        <v>-4.0000000000000036E-2</v>
      </c>
      <c r="R109" s="27">
        <f t="shared" ref="R109" si="89">(P109-$N109)/$N109</f>
        <v>2.9999999999999888E-2</v>
      </c>
      <c r="S109" s="38" t="s">
        <v>26</v>
      </c>
      <c r="V109" s="22">
        <v>0.1</v>
      </c>
      <c r="W109" s="22">
        <v>9.6000000000000002E-2</v>
      </c>
      <c r="X109" s="22">
        <v>0.10199999999999999</v>
      </c>
      <c r="Y109" s="27">
        <f t="shared" si="78"/>
        <v>-4.0000000000000036E-2</v>
      </c>
      <c r="Z109" s="27">
        <f t="shared" si="79"/>
        <v>1.9999999999999879E-2</v>
      </c>
      <c r="AA109" s="38" t="s">
        <v>26</v>
      </c>
      <c r="AD109" s="22">
        <v>0.1</v>
      </c>
      <c r="AE109" s="22">
        <v>9.6000000000000002E-2</v>
      </c>
      <c r="AF109" s="22">
        <v>0.108</v>
      </c>
      <c r="AG109" s="27">
        <f t="shared" si="80"/>
        <v>-4.0000000000000036E-2</v>
      </c>
      <c r="AH109" s="27">
        <f t="shared" si="81"/>
        <v>7.9999999999999932E-2</v>
      </c>
      <c r="AI109" s="38" t="s">
        <v>26</v>
      </c>
      <c r="AL109" s="22">
        <v>0.1</v>
      </c>
      <c r="AM109" s="22">
        <v>9.6000000000000002E-2</v>
      </c>
      <c r="AN109" s="22">
        <v>0.108</v>
      </c>
      <c r="AO109" s="27">
        <f t="shared" si="82"/>
        <v>-4.0000000000000036E-2</v>
      </c>
      <c r="AP109" s="27">
        <f t="shared" si="83"/>
        <v>7.9999999999999932E-2</v>
      </c>
      <c r="AQ109" s="38" t="s">
        <v>26</v>
      </c>
    </row>
    <row r="110" spans="2:43" ht="28.8" x14ac:dyDescent="0.3">
      <c r="B110" s="10" t="s">
        <v>393</v>
      </c>
      <c r="C110" s="61"/>
      <c r="D110" s="8" t="s">
        <v>237</v>
      </c>
      <c r="E110" s="7" t="s">
        <v>316</v>
      </c>
      <c r="F110" s="8" t="s">
        <v>239</v>
      </c>
      <c r="G110" s="8" t="s">
        <v>159</v>
      </c>
      <c r="H110" s="38" t="s">
        <v>26</v>
      </c>
      <c r="J110" s="4">
        <v>0.1</v>
      </c>
      <c r="K110" s="4" t="s">
        <v>169</v>
      </c>
      <c r="L110" s="5">
        <v>0.09</v>
      </c>
      <c r="N110" s="22">
        <v>0.1</v>
      </c>
      <c r="O110" s="22">
        <v>9.7000000000000003E-2</v>
      </c>
      <c r="P110" s="22">
        <v>0.10299999999999999</v>
      </c>
      <c r="Q110" s="27">
        <f t="shared" ref="Q110" si="90">(O110-$N110)/$N110</f>
        <v>-3.0000000000000027E-2</v>
      </c>
      <c r="R110" s="27">
        <f t="shared" ref="R110" si="91">(P110-$N110)/$N110</f>
        <v>2.9999999999999888E-2</v>
      </c>
      <c r="S110" s="38" t="s">
        <v>26</v>
      </c>
      <c r="V110" s="22">
        <v>0.1</v>
      </c>
      <c r="W110" s="22">
        <v>9.6000000000000002E-2</v>
      </c>
      <c r="X110" s="22">
        <v>0.10199999999999999</v>
      </c>
      <c r="Y110" s="27">
        <f t="shared" si="78"/>
        <v>-4.0000000000000036E-2</v>
      </c>
      <c r="Z110" s="27">
        <f t="shared" si="79"/>
        <v>1.9999999999999879E-2</v>
      </c>
      <c r="AA110" s="38" t="s">
        <v>26</v>
      </c>
      <c r="AD110" s="22">
        <v>0.1</v>
      </c>
      <c r="AE110" s="22">
        <v>9.9000000000000005E-2</v>
      </c>
      <c r="AF110" s="22">
        <v>0.105</v>
      </c>
      <c r="AG110" s="27">
        <f t="shared" si="80"/>
        <v>-1.0000000000000009E-2</v>
      </c>
      <c r="AH110" s="27">
        <f t="shared" si="81"/>
        <v>4.9999999999999906E-2</v>
      </c>
      <c r="AI110" s="38" t="s">
        <v>26</v>
      </c>
      <c r="AL110" s="22">
        <v>0.1</v>
      </c>
      <c r="AM110" s="22">
        <v>9.9000000000000005E-2</v>
      </c>
      <c r="AN110" s="22">
        <v>0.105</v>
      </c>
      <c r="AO110" s="27">
        <f t="shared" si="82"/>
        <v>-1.0000000000000009E-2</v>
      </c>
      <c r="AP110" s="27">
        <f t="shared" si="83"/>
        <v>4.9999999999999906E-2</v>
      </c>
      <c r="AQ110" s="38" t="s">
        <v>26</v>
      </c>
    </row>
    <row r="111" spans="2:43" ht="28.8" x14ac:dyDescent="0.3">
      <c r="B111" s="10" t="s">
        <v>394</v>
      </c>
      <c r="C111" s="61"/>
      <c r="D111" s="8" t="s">
        <v>237</v>
      </c>
      <c r="E111" s="7" t="s">
        <v>316</v>
      </c>
      <c r="F111" s="8" t="s">
        <v>239</v>
      </c>
      <c r="G111" s="8" t="s">
        <v>160</v>
      </c>
      <c r="H111" s="38" t="s">
        <v>26</v>
      </c>
      <c r="J111" s="4">
        <v>0.1</v>
      </c>
      <c r="K111" s="4" t="s">
        <v>169</v>
      </c>
      <c r="L111" s="5">
        <v>0.09</v>
      </c>
      <c r="N111" s="22">
        <v>0.1</v>
      </c>
      <c r="O111" s="22">
        <v>9.8000000000000004E-2</v>
      </c>
      <c r="P111" s="22">
        <v>0.105</v>
      </c>
      <c r="Q111" s="27">
        <f t="shared" ref="Q111" si="92">(O111-$N111)/$N111</f>
        <v>-2.0000000000000018E-2</v>
      </c>
      <c r="R111" s="27">
        <f t="shared" ref="R111" si="93">(P111-$N111)/$N111</f>
        <v>4.9999999999999906E-2</v>
      </c>
      <c r="S111" s="38" t="s">
        <v>26</v>
      </c>
      <c r="V111" s="22">
        <v>0.1</v>
      </c>
      <c r="W111" s="22">
        <v>9.7000000000000003E-2</v>
      </c>
      <c r="X111" s="22">
        <v>0.10299999999999999</v>
      </c>
      <c r="Y111" s="27">
        <f t="shared" si="78"/>
        <v>-3.0000000000000027E-2</v>
      </c>
      <c r="Z111" s="27">
        <f t="shared" si="79"/>
        <v>2.9999999999999888E-2</v>
      </c>
      <c r="AA111" s="38" t="s">
        <v>26</v>
      </c>
      <c r="AD111" s="22">
        <v>0.1</v>
      </c>
      <c r="AE111" s="22">
        <v>9.5000000000000001E-2</v>
      </c>
      <c r="AF111" s="22">
        <v>0.106</v>
      </c>
      <c r="AG111" s="27">
        <f t="shared" si="80"/>
        <v>-5.0000000000000044E-2</v>
      </c>
      <c r="AH111" s="27">
        <f t="shared" si="81"/>
        <v>5.9999999999999915E-2</v>
      </c>
      <c r="AI111" s="38" t="s">
        <v>26</v>
      </c>
      <c r="AL111" s="22">
        <v>0.1</v>
      </c>
      <c r="AM111" s="22">
        <v>9.5000000000000001E-2</v>
      </c>
      <c r="AN111" s="22">
        <v>0.106</v>
      </c>
      <c r="AO111" s="27">
        <f t="shared" si="82"/>
        <v>-5.0000000000000044E-2</v>
      </c>
      <c r="AP111" s="27">
        <f t="shared" si="83"/>
        <v>5.9999999999999915E-2</v>
      </c>
      <c r="AQ111" s="38" t="s">
        <v>26</v>
      </c>
    </row>
    <row r="112" spans="2:43" ht="28.8" x14ac:dyDescent="0.3">
      <c r="B112" s="10" t="s">
        <v>395</v>
      </c>
      <c r="C112" s="61"/>
      <c r="D112" s="8" t="s">
        <v>237</v>
      </c>
      <c r="E112" s="7" t="s">
        <v>316</v>
      </c>
      <c r="F112" s="8" t="s">
        <v>239</v>
      </c>
      <c r="G112" s="8" t="s">
        <v>161</v>
      </c>
      <c r="H112" s="38" t="s">
        <v>26</v>
      </c>
      <c r="J112" s="4">
        <v>0.1</v>
      </c>
      <c r="K112" s="4" t="s">
        <v>169</v>
      </c>
      <c r="L112" s="5">
        <v>0.09</v>
      </c>
      <c r="N112" s="22">
        <v>0.1</v>
      </c>
      <c r="O112" s="22">
        <v>9.6000000000000002E-2</v>
      </c>
      <c r="P112" s="22">
        <v>0.10100000000000001</v>
      </c>
      <c r="Q112" s="27">
        <f t="shared" ref="Q112" si="94">(O112-$N112)/$N112</f>
        <v>-4.0000000000000036E-2</v>
      </c>
      <c r="R112" s="27">
        <f t="shared" ref="R112" si="95">(P112-$N112)/$N112</f>
        <v>1.0000000000000009E-2</v>
      </c>
      <c r="S112" s="38" t="s">
        <v>26</v>
      </c>
      <c r="V112" s="22">
        <v>0.1</v>
      </c>
      <c r="W112" s="22">
        <v>9.8000000000000004E-2</v>
      </c>
      <c r="X112" s="22">
        <v>0.104</v>
      </c>
      <c r="Y112" s="27">
        <f t="shared" si="78"/>
        <v>-2.0000000000000018E-2</v>
      </c>
      <c r="Z112" s="27">
        <f t="shared" si="79"/>
        <v>3.9999999999999897E-2</v>
      </c>
      <c r="AA112" s="38" t="s">
        <v>26</v>
      </c>
      <c r="AD112" s="22">
        <v>0.1</v>
      </c>
      <c r="AE112" s="22">
        <v>9.8000000000000004E-2</v>
      </c>
      <c r="AF112" s="22">
        <v>0.104</v>
      </c>
      <c r="AG112" s="27">
        <f t="shared" si="80"/>
        <v>-2.0000000000000018E-2</v>
      </c>
      <c r="AH112" s="27">
        <f t="shared" si="81"/>
        <v>3.9999999999999897E-2</v>
      </c>
      <c r="AI112" s="38" t="s">
        <v>26</v>
      </c>
      <c r="AL112" s="22">
        <v>0.1</v>
      </c>
      <c r="AM112" s="22">
        <v>9.8000000000000004E-2</v>
      </c>
      <c r="AN112" s="22">
        <v>0.104</v>
      </c>
      <c r="AO112" s="27">
        <f t="shared" si="82"/>
        <v>-2.0000000000000018E-2</v>
      </c>
      <c r="AP112" s="27">
        <f t="shared" si="83"/>
        <v>3.9999999999999897E-2</v>
      </c>
      <c r="AQ112" s="38" t="s">
        <v>26</v>
      </c>
    </row>
    <row r="113" spans="2:43" ht="28.8" x14ac:dyDescent="0.3">
      <c r="B113" s="10" t="s">
        <v>396</v>
      </c>
      <c r="C113" s="61"/>
      <c r="D113" s="8" t="s">
        <v>237</v>
      </c>
      <c r="E113" s="7" t="s">
        <v>316</v>
      </c>
      <c r="F113" s="8" t="s">
        <v>239</v>
      </c>
      <c r="G113" s="8" t="s">
        <v>162</v>
      </c>
      <c r="H113" s="38" t="s">
        <v>26</v>
      </c>
      <c r="J113" s="4">
        <v>0.1</v>
      </c>
      <c r="K113" s="4" t="s">
        <v>169</v>
      </c>
      <c r="L113" s="5">
        <v>0.09</v>
      </c>
      <c r="N113" s="22">
        <v>0.1</v>
      </c>
      <c r="O113" s="22">
        <v>9.6000000000000002E-2</v>
      </c>
      <c r="P113" s="22">
        <v>0.104</v>
      </c>
      <c r="Q113" s="27">
        <f t="shared" ref="Q113" si="96">(O113-$N113)/$N113</f>
        <v>-4.0000000000000036E-2</v>
      </c>
      <c r="R113" s="27">
        <f t="shared" ref="R113" si="97">(P113-$N113)/$N113</f>
        <v>3.9999999999999897E-2</v>
      </c>
      <c r="S113" s="38" t="s">
        <v>26</v>
      </c>
      <c r="V113" s="22">
        <v>0.1</v>
      </c>
      <c r="W113" s="22">
        <v>9.8000000000000004E-2</v>
      </c>
      <c r="X113" s="22">
        <v>0.10100000000000001</v>
      </c>
      <c r="Y113" s="27">
        <f t="shared" si="78"/>
        <v>-2.0000000000000018E-2</v>
      </c>
      <c r="Z113" s="27">
        <f t="shared" si="79"/>
        <v>1.0000000000000009E-2</v>
      </c>
      <c r="AA113" s="38" t="s">
        <v>26</v>
      </c>
      <c r="AD113" s="22">
        <v>0.1</v>
      </c>
      <c r="AE113" s="22">
        <v>0.1</v>
      </c>
      <c r="AF113" s="22">
        <v>0.108</v>
      </c>
      <c r="AG113" s="27">
        <f t="shared" si="80"/>
        <v>0</v>
      </c>
      <c r="AH113" s="27">
        <f t="shared" si="81"/>
        <v>7.9999999999999932E-2</v>
      </c>
      <c r="AI113" s="38" t="s">
        <v>26</v>
      </c>
      <c r="AL113" s="22">
        <v>0.1</v>
      </c>
      <c r="AM113" s="22">
        <v>0.1</v>
      </c>
      <c r="AN113" s="22">
        <v>0.108</v>
      </c>
      <c r="AO113" s="27">
        <f t="shared" si="82"/>
        <v>0</v>
      </c>
      <c r="AP113" s="27">
        <f t="shared" si="83"/>
        <v>7.9999999999999932E-2</v>
      </c>
      <c r="AQ113" s="38" t="s">
        <v>26</v>
      </c>
    </row>
    <row r="114" spans="2:43" ht="28.8" x14ac:dyDescent="0.3">
      <c r="B114" s="10" t="s">
        <v>397</v>
      </c>
      <c r="C114" s="61"/>
      <c r="D114" s="8" t="s">
        <v>237</v>
      </c>
      <c r="E114" s="7" t="s">
        <v>316</v>
      </c>
      <c r="F114" s="8" t="s">
        <v>239</v>
      </c>
      <c r="G114" s="8" t="s">
        <v>163</v>
      </c>
      <c r="H114" s="38" t="s">
        <v>26</v>
      </c>
      <c r="J114" s="4">
        <v>0.1</v>
      </c>
      <c r="K114" s="4" t="s">
        <v>169</v>
      </c>
      <c r="L114" s="5">
        <v>0.09</v>
      </c>
      <c r="N114" s="22">
        <v>0.1</v>
      </c>
      <c r="O114" s="22">
        <v>9.8000000000000004E-2</v>
      </c>
      <c r="P114" s="22">
        <v>0.10199999999999999</v>
      </c>
      <c r="Q114" s="27">
        <f t="shared" ref="Q114" si="98">(O114-$N114)/$N114</f>
        <v>-2.0000000000000018E-2</v>
      </c>
      <c r="R114" s="27">
        <f t="shared" ref="R114" si="99">(P114-$N114)/$N114</f>
        <v>1.9999999999999879E-2</v>
      </c>
      <c r="S114" s="38" t="s">
        <v>26</v>
      </c>
      <c r="V114" s="22">
        <v>0.1</v>
      </c>
      <c r="W114" s="22">
        <v>9.8000000000000004E-2</v>
      </c>
      <c r="X114" s="22">
        <v>0.10299999999999999</v>
      </c>
      <c r="Y114" s="27">
        <f t="shared" si="78"/>
        <v>-2.0000000000000018E-2</v>
      </c>
      <c r="Z114" s="27">
        <f t="shared" si="79"/>
        <v>2.9999999999999888E-2</v>
      </c>
      <c r="AA114" s="38" t="s">
        <v>26</v>
      </c>
      <c r="AD114" s="22">
        <v>0.1</v>
      </c>
      <c r="AE114" s="22">
        <v>9.6000000000000002E-2</v>
      </c>
      <c r="AF114" s="22">
        <v>0.106</v>
      </c>
      <c r="AG114" s="27">
        <f t="shared" si="80"/>
        <v>-4.0000000000000036E-2</v>
      </c>
      <c r="AH114" s="27">
        <f t="shared" si="81"/>
        <v>5.9999999999999915E-2</v>
      </c>
      <c r="AI114" s="38" t="s">
        <v>26</v>
      </c>
      <c r="AL114" s="22">
        <v>0.1</v>
      </c>
      <c r="AM114" s="22">
        <v>9.6000000000000002E-2</v>
      </c>
      <c r="AN114" s="22">
        <v>0.106</v>
      </c>
      <c r="AO114" s="27">
        <f t="shared" si="82"/>
        <v>-4.0000000000000036E-2</v>
      </c>
      <c r="AP114" s="27">
        <f t="shared" si="83"/>
        <v>5.9999999999999915E-2</v>
      </c>
      <c r="AQ114" s="38" t="s">
        <v>26</v>
      </c>
    </row>
    <row r="115" spans="2:43" ht="28.8" x14ac:dyDescent="0.3">
      <c r="B115" s="10" t="s">
        <v>398</v>
      </c>
      <c r="C115" s="61"/>
      <c r="D115" s="8" t="s">
        <v>237</v>
      </c>
      <c r="E115" s="7" t="s">
        <v>316</v>
      </c>
      <c r="F115" s="8" t="s">
        <v>239</v>
      </c>
      <c r="G115" s="8" t="s">
        <v>164</v>
      </c>
      <c r="H115" s="38" t="s">
        <v>26</v>
      </c>
      <c r="J115" s="4">
        <v>0.1</v>
      </c>
      <c r="K115" s="4" t="s">
        <v>169</v>
      </c>
      <c r="L115" s="5">
        <v>0.09</v>
      </c>
      <c r="N115" s="22">
        <v>0.1</v>
      </c>
      <c r="O115" s="22">
        <v>9.8000000000000004E-2</v>
      </c>
      <c r="P115" s="22">
        <v>0.104</v>
      </c>
      <c r="Q115" s="27">
        <f t="shared" ref="Q115" si="100">(O115-$N115)/$N115</f>
        <v>-2.0000000000000018E-2</v>
      </c>
      <c r="R115" s="27">
        <f t="shared" ref="R115" si="101">(P115-$N115)/$N115</f>
        <v>3.9999999999999897E-2</v>
      </c>
      <c r="S115" s="38" t="s">
        <v>26</v>
      </c>
      <c r="V115" s="22">
        <v>0.1</v>
      </c>
      <c r="W115" s="22">
        <v>9.1999999999999998E-2</v>
      </c>
      <c r="X115" s="22">
        <v>0.1</v>
      </c>
      <c r="Y115" s="27">
        <f t="shared" si="78"/>
        <v>-8.0000000000000071E-2</v>
      </c>
      <c r="Z115" s="27">
        <f t="shared" si="79"/>
        <v>0</v>
      </c>
      <c r="AA115" s="38" t="s">
        <v>26</v>
      </c>
      <c r="AD115" s="22">
        <v>0.1</v>
      </c>
      <c r="AE115" s="22">
        <v>9.7000000000000003E-2</v>
      </c>
      <c r="AF115" s="22">
        <v>0.107</v>
      </c>
      <c r="AG115" s="27">
        <f t="shared" si="80"/>
        <v>-3.0000000000000027E-2</v>
      </c>
      <c r="AH115" s="27">
        <f t="shared" si="81"/>
        <v>6.9999999999999923E-2</v>
      </c>
      <c r="AI115" s="38" t="s">
        <v>26</v>
      </c>
      <c r="AL115" s="22">
        <v>0.1</v>
      </c>
      <c r="AM115" s="22">
        <v>9.7000000000000003E-2</v>
      </c>
      <c r="AN115" s="22">
        <v>0.107</v>
      </c>
      <c r="AO115" s="27">
        <f t="shared" si="82"/>
        <v>-3.0000000000000027E-2</v>
      </c>
      <c r="AP115" s="27">
        <f t="shared" si="83"/>
        <v>6.9999999999999923E-2</v>
      </c>
      <c r="AQ115" s="38" t="s">
        <v>26</v>
      </c>
    </row>
    <row r="116" spans="2:43" ht="28.8" x14ac:dyDescent="0.3">
      <c r="B116" s="10" t="s">
        <v>399</v>
      </c>
      <c r="C116" s="61"/>
      <c r="D116" s="8" t="s">
        <v>237</v>
      </c>
      <c r="E116" s="7" t="s">
        <v>316</v>
      </c>
      <c r="F116" s="8" t="s">
        <v>239</v>
      </c>
      <c r="G116" s="8" t="s">
        <v>165</v>
      </c>
      <c r="H116" s="38" t="s">
        <v>26</v>
      </c>
      <c r="J116" s="4">
        <v>0.1</v>
      </c>
      <c r="K116" s="4" t="s">
        <v>169</v>
      </c>
      <c r="L116" s="5">
        <v>0.09</v>
      </c>
      <c r="N116" s="22">
        <v>0.1</v>
      </c>
      <c r="O116" s="22">
        <v>9.7000000000000003E-2</v>
      </c>
      <c r="P116" s="22">
        <v>0.104</v>
      </c>
      <c r="Q116" s="27">
        <f t="shared" ref="Q116:Q117" si="102">(O116-$N116)/$N116</f>
        <v>-3.0000000000000027E-2</v>
      </c>
      <c r="R116" s="27">
        <f t="shared" ref="R116:R117" si="103">(P116-$N116)/$N116</f>
        <v>3.9999999999999897E-2</v>
      </c>
      <c r="S116" s="38" t="s">
        <v>26</v>
      </c>
      <c r="V116" s="22">
        <v>0.1</v>
      </c>
      <c r="W116" s="22">
        <v>9.4E-2</v>
      </c>
      <c r="X116" s="22">
        <v>0.10100000000000001</v>
      </c>
      <c r="Y116" s="27">
        <f t="shared" si="78"/>
        <v>-6.0000000000000053E-2</v>
      </c>
      <c r="Z116" s="27">
        <f t="shared" si="79"/>
        <v>1.0000000000000009E-2</v>
      </c>
      <c r="AA116" s="38" t="s">
        <v>26</v>
      </c>
      <c r="AD116" s="22">
        <v>0.1</v>
      </c>
      <c r="AE116" s="22">
        <v>9.9000000000000005E-2</v>
      </c>
      <c r="AF116" s="22">
        <v>0.104</v>
      </c>
      <c r="AG116" s="27">
        <f t="shared" si="80"/>
        <v>-1.0000000000000009E-2</v>
      </c>
      <c r="AH116" s="27">
        <f t="shared" si="81"/>
        <v>3.9999999999999897E-2</v>
      </c>
      <c r="AI116" s="38" t="s">
        <v>26</v>
      </c>
      <c r="AL116" s="22">
        <v>0.1</v>
      </c>
      <c r="AM116" s="22">
        <v>9.9000000000000005E-2</v>
      </c>
      <c r="AN116" s="22">
        <v>0.104</v>
      </c>
      <c r="AO116" s="27">
        <f t="shared" si="82"/>
        <v>-1.0000000000000009E-2</v>
      </c>
      <c r="AP116" s="27">
        <f t="shared" si="83"/>
        <v>3.9999999999999897E-2</v>
      </c>
      <c r="AQ116" s="38" t="s">
        <v>26</v>
      </c>
    </row>
    <row r="117" spans="2:43" ht="28.8" x14ac:dyDescent="0.3">
      <c r="B117" s="10" t="s">
        <v>400</v>
      </c>
      <c r="C117" s="61"/>
      <c r="D117" s="8" t="s">
        <v>237</v>
      </c>
      <c r="E117" s="7" t="s">
        <v>316</v>
      </c>
      <c r="F117" s="8" t="s">
        <v>240</v>
      </c>
      <c r="G117" s="8" t="s">
        <v>238</v>
      </c>
      <c r="H117" s="38" t="s">
        <v>26</v>
      </c>
      <c r="J117" s="4">
        <v>4</v>
      </c>
      <c r="K117" s="4" t="s">
        <v>169</v>
      </c>
      <c r="L117" s="5">
        <v>7.0000000000000001E-3</v>
      </c>
      <c r="N117" s="22">
        <v>4</v>
      </c>
      <c r="O117" s="22">
        <v>4</v>
      </c>
      <c r="P117" s="22">
        <v>4.0069999999999997</v>
      </c>
      <c r="Q117" s="27">
        <f t="shared" si="102"/>
        <v>0</v>
      </c>
      <c r="R117" s="27">
        <f t="shared" si="103"/>
        <v>1.7499999999999183E-3</v>
      </c>
      <c r="S117" s="38" t="s">
        <v>26</v>
      </c>
      <c r="V117" s="22">
        <v>4</v>
      </c>
      <c r="W117" s="22">
        <v>3.9980000000000002</v>
      </c>
      <c r="X117" s="22">
        <v>4.0069999999999997</v>
      </c>
      <c r="Y117" s="27">
        <f t="shared" si="78"/>
        <v>-4.9999999999994493E-4</v>
      </c>
      <c r="Z117" s="27">
        <f t="shared" si="79"/>
        <v>1.7499999999999183E-3</v>
      </c>
      <c r="AA117" s="38" t="s">
        <v>26</v>
      </c>
      <c r="AD117" s="22">
        <v>4</v>
      </c>
      <c r="AE117" s="22">
        <v>4.0010000000000003</v>
      </c>
      <c r="AF117" s="22">
        <v>4.0060000000000002</v>
      </c>
      <c r="AG117" s="27">
        <f t="shared" si="80"/>
        <v>2.5000000000008349E-4</v>
      </c>
      <c r="AH117" s="27">
        <f t="shared" si="81"/>
        <v>1.5000000000000568E-3</v>
      </c>
      <c r="AI117" s="38" t="s">
        <v>26</v>
      </c>
      <c r="AL117" s="22">
        <v>4</v>
      </c>
      <c r="AM117" s="22">
        <v>4.0010000000000003</v>
      </c>
      <c r="AN117" s="22">
        <v>4.0060000000000002</v>
      </c>
      <c r="AO117" s="27">
        <f t="shared" si="82"/>
        <v>2.5000000000008349E-4</v>
      </c>
      <c r="AP117" s="27">
        <f t="shared" si="83"/>
        <v>1.5000000000000568E-3</v>
      </c>
      <c r="AQ117" s="38" t="s">
        <v>26</v>
      </c>
    </row>
    <row r="118" spans="2:43" ht="28.8" x14ac:dyDescent="0.3">
      <c r="B118" s="10" t="s">
        <v>401</v>
      </c>
      <c r="C118" s="61"/>
      <c r="D118" s="8" t="s">
        <v>237</v>
      </c>
      <c r="E118" s="7" t="s">
        <v>316</v>
      </c>
      <c r="F118" s="8" t="s">
        <v>240</v>
      </c>
      <c r="G118" s="8" t="s">
        <v>155</v>
      </c>
      <c r="H118" s="38" t="s">
        <v>26</v>
      </c>
      <c r="J118" s="4">
        <v>4</v>
      </c>
      <c r="K118" s="4" t="s">
        <v>169</v>
      </c>
      <c r="L118" s="5">
        <v>7.0000000000000001E-3</v>
      </c>
      <c r="N118" s="22">
        <v>4</v>
      </c>
      <c r="O118" s="22">
        <v>4</v>
      </c>
      <c r="P118" s="22">
        <v>4.0030000000000001</v>
      </c>
      <c r="Q118" s="27">
        <f t="shared" ref="Q118:Q128" si="104">(O118-$N118)/$N118</f>
        <v>0</v>
      </c>
      <c r="R118" s="27">
        <f t="shared" ref="R118:R128" si="105">(P118-$N118)/$N118</f>
        <v>7.5000000000002842E-4</v>
      </c>
      <c r="S118" s="38" t="s">
        <v>26</v>
      </c>
      <c r="V118" s="22">
        <v>4</v>
      </c>
      <c r="W118" s="22">
        <v>3.9990000000000001</v>
      </c>
      <c r="X118" s="22">
        <v>4.0049999999999999</v>
      </c>
      <c r="Y118" s="27">
        <f t="shared" si="78"/>
        <v>-2.4999999999997247E-4</v>
      </c>
      <c r="Z118" s="27">
        <f t="shared" si="79"/>
        <v>1.2499999999999734E-3</v>
      </c>
      <c r="AA118" s="38" t="s">
        <v>26</v>
      </c>
      <c r="AD118" s="22">
        <v>4</v>
      </c>
      <c r="AE118" s="22">
        <v>4</v>
      </c>
      <c r="AF118" s="22">
        <v>4.01</v>
      </c>
      <c r="AG118" s="27">
        <f t="shared" si="80"/>
        <v>0</v>
      </c>
      <c r="AH118" s="27">
        <f t="shared" si="81"/>
        <v>2.4999999999999467E-3</v>
      </c>
      <c r="AI118" s="38" t="s">
        <v>26</v>
      </c>
      <c r="AL118" s="22">
        <v>4</v>
      </c>
      <c r="AM118" s="22">
        <v>4</v>
      </c>
      <c r="AN118" s="22">
        <v>4.01</v>
      </c>
      <c r="AO118" s="27">
        <f t="shared" si="82"/>
        <v>0</v>
      </c>
      <c r="AP118" s="27">
        <f t="shared" si="83"/>
        <v>2.4999999999999467E-3</v>
      </c>
      <c r="AQ118" s="38" t="s">
        <v>26</v>
      </c>
    </row>
    <row r="119" spans="2:43" ht="28.8" x14ac:dyDescent="0.3">
      <c r="B119" s="10" t="s">
        <v>402</v>
      </c>
      <c r="C119" s="61"/>
      <c r="D119" s="8" t="s">
        <v>237</v>
      </c>
      <c r="E119" s="7" t="s">
        <v>316</v>
      </c>
      <c r="F119" s="8" t="s">
        <v>240</v>
      </c>
      <c r="G119" s="8" t="s">
        <v>156</v>
      </c>
      <c r="H119" s="38" t="s">
        <v>26</v>
      </c>
      <c r="J119" s="4">
        <v>4</v>
      </c>
      <c r="K119" s="4" t="s">
        <v>169</v>
      </c>
      <c r="L119" s="5">
        <v>7.0000000000000001E-3</v>
      </c>
      <c r="N119" s="22">
        <v>4</v>
      </c>
      <c r="O119" s="22">
        <v>4</v>
      </c>
      <c r="P119" s="22">
        <v>4.0060000000000002</v>
      </c>
      <c r="Q119" s="27">
        <f t="shared" si="104"/>
        <v>0</v>
      </c>
      <c r="R119" s="27">
        <f t="shared" si="105"/>
        <v>1.5000000000000568E-3</v>
      </c>
      <c r="S119" s="38" t="s">
        <v>26</v>
      </c>
      <c r="V119" s="22">
        <v>4</v>
      </c>
      <c r="W119" s="22">
        <v>3.9990000000000001</v>
      </c>
      <c r="X119" s="22">
        <v>4.008</v>
      </c>
      <c r="Y119" s="27">
        <f t="shared" si="78"/>
        <v>-2.4999999999997247E-4</v>
      </c>
      <c r="Z119" s="27">
        <f t="shared" si="79"/>
        <v>2.0000000000000018E-3</v>
      </c>
      <c r="AA119" s="38" t="s">
        <v>26</v>
      </c>
      <c r="AD119" s="22">
        <v>4</v>
      </c>
      <c r="AE119" s="22">
        <v>4.0010000000000003</v>
      </c>
      <c r="AF119" s="22">
        <v>4.01</v>
      </c>
      <c r="AG119" s="27">
        <f t="shared" si="80"/>
        <v>2.5000000000008349E-4</v>
      </c>
      <c r="AH119" s="27">
        <f t="shared" si="81"/>
        <v>2.4999999999999467E-3</v>
      </c>
      <c r="AI119" s="38" t="s">
        <v>26</v>
      </c>
      <c r="AL119" s="22">
        <v>4</v>
      </c>
      <c r="AM119" s="22">
        <v>4.0010000000000003</v>
      </c>
      <c r="AN119" s="22">
        <v>4.01</v>
      </c>
      <c r="AO119" s="27">
        <f t="shared" si="82"/>
        <v>2.5000000000008349E-4</v>
      </c>
      <c r="AP119" s="27">
        <f t="shared" si="83"/>
        <v>2.4999999999999467E-3</v>
      </c>
      <c r="AQ119" s="38" t="s">
        <v>26</v>
      </c>
    </row>
    <row r="120" spans="2:43" ht="28.8" x14ac:dyDescent="0.3">
      <c r="B120" s="10" t="s">
        <v>403</v>
      </c>
      <c r="C120" s="61"/>
      <c r="D120" s="8" t="s">
        <v>237</v>
      </c>
      <c r="E120" s="7" t="s">
        <v>316</v>
      </c>
      <c r="F120" s="8" t="s">
        <v>240</v>
      </c>
      <c r="G120" s="8" t="s">
        <v>157</v>
      </c>
      <c r="H120" s="38" t="s">
        <v>26</v>
      </c>
      <c r="J120" s="4">
        <v>4</v>
      </c>
      <c r="K120" s="4" t="s">
        <v>169</v>
      </c>
      <c r="L120" s="5">
        <v>7.0000000000000001E-3</v>
      </c>
      <c r="N120" s="22">
        <v>4</v>
      </c>
      <c r="O120" s="22">
        <v>4</v>
      </c>
      <c r="P120" s="22">
        <v>4.0069999999999997</v>
      </c>
      <c r="Q120" s="27">
        <f t="shared" si="104"/>
        <v>0</v>
      </c>
      <c r="R120" s="27">
        <f t="shared" si="105"/>
        <v>1.7499999999999183E-3</v>
      </c>
      <c r="S120" s="38" t="s">
        <v>26</v>
      </c>
      <c r="V120" s="22">
        <v>4</v>
      </c>
      <c r="W120" s="22">
        <v>3.9990000000000001</v>
      </c>
      <c r="X120" s="22">
        <v>4.0069999999999997</v>
      </c>
      <c r="Y120" s="27">
        <f t="shared" si="78"/>
        <v>-2.4999999999997247E-4</v>
      </c>
      <c r="Z120" s="27">
        <f t="shared" si="79"/>
        <v>1.7499999999999183E-3</v>
      </c>
      <c r="AA120" s="38" t="s">
        <v>26</v>
      </c>
      <c r="AD120" s="22">
        <v>4</v>
      </c>
      <c r="AE120" s="22">
        <v>3.9990000000000001</v>
      </c>
      <c r="AF120" s="22">
        <v>4.0060000000000002</v>
      </c>
      <c r="AG120" s="27">
        <f t="shared" si="80"/>
        <v>-2.4999999999997247E-4</v>
      </c>
      <c r="AH120" s="27">
        <f t="shared" si="81"/>
        <v>1.5000000000000568E-3</v>
      </c>
      <c r="AI120" s="38" t="s">
        <v>26</v>
      </c>
      <c r="AL120" s="22">
        <v>4</v>
      </c>
      <c r="AM120" s="22">
        <v>3.9990000000000001</v>
      </c>
      <c r="AN120" s="22">
        <v>4.0060000000000002</v>
      </c>
      <c r="AO120" s="27">
        <f t="shared" si="82"/>
        <v>-2.4999999999997247E-4</v>
      </c>
      <c r="AP120" s="27">
        <f t="shared" si="83"/>
        <v>1.5000000000000568E-3</v>
      </c>
      <c r="AQ120" s="38" t="s">
        <v>26</v>
      </c>
    </row>
    <row r="121" spans="2:43" ht="28.8" x14ac:dyDescent="0.3">
      <c r="B121" s="10" t="s">
        <v>404</v>
      </c>
      <c r="C121" s="61"/>
      <c r="D121" s="8" t="s">
        <v>237</v>
      </c>
      <c r="E121" s="7" t="s">
        <v>316</v>
      </c>
      <c r="F121" s="8" t="s">
        <v>240</v>
      </c>
      <c r="G121" s="8" t="s">
        <v>158</v>
      </c>
      <c r="H121" s="38" t="s">
        <v>26</v>
      </c>
      <c r="J121" s="4">
        <v>4</v>
      </c>
      <c r="K121" s="4" t="s">
        <v>169</v>
      </c>
      <c r="L121" s="5">
        <v>7.0000000000000001E-3</v>
      </c>
      <c r="N121" s="22">
        <v>4</v>
      </c>
      <c r="O121" s="22">
        <v>4</v>
      </c>
      <c r="P121" s="22">
        <v>4.0069999999999997</v>
      </c>
      <c r="Q121" s="27">
        <f t="shared" si="104"/>
        <v>0</v>
      </c>
      <c r="R121" s="27">
        <f t="shared" si="105"/>
        <v>1.7499999999999183E-3</v>
      </c>
      <c r="S121" s="38" t="s">
        <v>26</v>
      </c>
      <c r="V121" s="22">
        <v>4</v>
      </c>
      <c r="W121" s="22">
        <v>4</v>
      </c>
      <c r="X121" s="22">
        <v>4.0049999999999999</v>
      </c>
      <c r="Y121" s="27">
        <f t="shared" si="78"/>
        <v>0</v>
      </c>
      <c r="Z121" s="27">
        <f t="shared" si="79"/>
        <v>1.2499999999999734E-3</v>
      </c>
      <c r="AA121" s="38" t="s">
        <v>26</v>
      </c>
      <c r="AD121" s="22">
        <v>4</v>
      </c>
      <c r="AE121" s="22">
        <v>3.9990000000000001</v>
      </c>
      <c r="AF121" s="22">
        <v>4.0090000000000003</v>
      </c>
      <c r="AG121" s="27">
        <f t="shared" si="80"/>
        <v>-2.4999999999997247E-4</v>
      </c>
      <c r="AH121" s="27">
        <f t="shared" si="81"/>
        <v>2.2500000000000853E-3</v>
      </c>
      <c r="AI121" s="38" t="s">
        <v>26</v>
      </c>
      <c r="AL121" s="22">
        <v>4</v>
      </c>
      <c r="AM121" s="22">
        <v>3.9990000000000001</v>
      </c>
      <c r="AN121" s="22">
        <v>4.0090000000000003</v>
      </c>
      <c r="AO121" s="27">
        <f t="shared" si="82"/>
        <v>-2.4999999999997247E-4</v>
      </c>
      <c r="AP121" s="27">
        <f t="shared" si="83"/>
        <v>2.2500000000000853E-3</v>
      </c>
      <c r="AQ121" s="38" t="s">
        <v>26</v>
      </c>
    </row>
    <row r="122" spans="2:43" ht="28.8" x14ac:dyDescent="0.3">
      <c r="B122" s="10" t="s">
        <v>405</v>
      </c>
      <c r="C122" s="61"/>
      <c r="D122" s="8" t="s">
        <v>237</v>
      </c>
      <c r="E122" s="7" t="s">
        <v>316</v>
      </c>
      <c r="F122" s="8" t="s">
        <v>240</v>
      </c>
      <c r="G122" s="8" t="s">
        <v>159</v>
      </c>
      <c r="H122" s="38" t="s">
        <v>26</v>
      </c>
      <c r="J122" s="4">
        <v>4</v>
      </c>
      <c r="K122" s="4" t="s">
        <v>169</v>
      </c>
      <c r="L122" s="5">
        <v>7.0000000000000001E-3</v>
      </c>
      <c r="N122" s="22">
        <v>4</v>
      </c>
      <c r="O122" s="22">
        <v>4</v>
      </c>
      <c r="P122" s="22">
        <v>4.0060000000000002</v>
      </c>
      <c r="Q122" s="27">
        <f t="shared" si="104"/>
        <v>0</v>
      </c>
      <c r="R122" s="27">
        <f t="shared" si="105"/>
        <v>1.5000000000000568E-3</v>
      </c>
      <c r="S122" s="38" t="s">
        <v>26</v>
      </c>
      <c r="V122" s="22">
        <v>4</v>
      </c>
      <c r="W122" s="22">
        <v>4</v>
      </c>
      <c r="X122" s="22">
        <v>4.0060000000000002</v>
      </c>
      <c r="Y122" s="27">
        <f t="shared" si="78"/>
        <v>0</v>
      </c>
      <c r="Z122" s="27">
        <f t="shared" si="79"/>
        <v>1.5000000000000568E-3</v>
      </c>
      <c r="AA122" s="38" t="s">
        <v>26</v>
      </c>
      <c r="AD122" s="22">
        <v>4</v>
      </c>
      <c r="AE122" s="22">
        <v>3.9969999999999999</v>
      </c>
      <c r="AF122" s="22">
        <v>4.01</v>
      </c>
      <c r="AG122" s="27">
        <f t="shared" si="80"/>
        <v>-7.5000000000002842E-4</v>
      </c>
      <c r="AH122" s="27">
        <f t="shared" si="81"/>
        <v>2.4999999999999467E-3</v>
      </c>
      <c r="AI122" s="38" t="s">
        <v>26</v>
      </c>
      <c r="AL122" s="22">
        <v>4</v>
      </c>
      <c r="AM122" s="22">
        <v>3.9969999999999999</v>
      </c>
      <c r="AN122" s="22">
        <v>4.01</v>
      </c>
      <c r="AO122" s="27">
        <f t="shared" si="82"/>
        <v>-7.5000000000002842E-4</v>
      </c>
      <c r="AP122" s="27">
        <f t="shared" si="83"/>
        <v>2.4999999999999467E-3</v>
      </c>
      <c r="AQ122" s="38" t="s">
        <v>26</v>
      </c>
    </row>
    <row r="123" spans="2:43" ht="28.8" x14ac:dyDescent="0.3">
      <c r="B123" s="10" t="s">
        <v>406</v>
      </c>
      <c r="C123" s="61"/>
      <c r="D123" s="8" t="s">
        <v>237</v>
      </c>
      <c r="E123" s="7" t="s">
        <v>316</v>
      </c>
      <c r="F123" s="8" t="s">
        <v>240</v>
      </c>
      <c r="G123" s="8" t="s">
        <v>160</v>
      </c>
      <c r="H123" s="38" t="s">
        <v>26</v>
      </c>
      <c r="J123" s="4">
        <v>4</v>
      </c>
      <c r="K123" s="4" t="s">
        <v>169</v>
      </c>
      <c r="L123" s="5">
        <v>7.0000000000000001E-3</v>
      </c>
      <c r="N123" s="22">
        <v>4</v>
      </c>
      <c r="O123" s="22">
        <v>4</v>
      </c>
      <c r="P123" s="22">
        <v>4.0060000000000002</v>
      </c>
      <c r="Q123" s="27">
        <f t="shared" si="104"/>
        <v>0</v>
      </c>
      <c r="R123" s="27">
        <f t="shared" si="105"/>
        <v>1.5000000000000568E-3</v>
      </c>
      <c r="S123" s="38" t="s">
        <v>26</v>
      </c>
      <c r="V123" s="22">
        <v>4</v>
      </c>
      <c r="W123" s="22">
        <v>3.9980000000000002</v>
      </c>
      <c r="X123" s="22">
        <v>4.0049999999999999</v>
      </c>
      <c r="Y123" s="27">
        <f t="shared" si="78"/>
        <v>-4.9999999999994493E-4</v>
      </c>
      <c r="Z123" s="27">
        <f t="shared" si="79"/>
        <v>1.2499999999999734E-3</v>
      </c>
      <c r="AA123" s="38" t="s">
        <v>26</v>
      </c>
      <c r="AD123" s="22">
        <v>4</v>
      </c>
      <c r="AE123" s="22">
        <v>3.9929999999999999</v>
      </c>
      <c r="AF123" s="22">
        <v>4.0069999999999997</v>
      </c>
      <c r="AG123" s="27">
        <f t="shared" si="80"/>
        <v>-1.7500000000000293E-3</v>
      </c>
      <c r="AH123" s="27">
        <f t="shared" si="81"/>
        <v>1.7499999999999183E-3</v>
      </c>
      <c r="AI123" s="38" t="s">
        <v>26</v>
      </c>
      <c r="AL123" s="22">
        <v>4</v>
      </c>
      <c r="AM123" s="22">
        <v>3.9929999999999999</v>
      </c>
      <c r="AN123" s="22">
        <v>4.0069999999999997</v>
      </c>
      <c r="AO123" s="27">
        <f t="shared" si="82"/>
        <v>-1.7500000000000293E-3</v>
      </c>
      <c r="AP123" s="27">
        <f t="shared" si="83"/>
        <v>1.7499999999999183E-3</v>
      </c>
      <c r="AQ123" s="38" t="s">
        <v>26</v>
      </c>
    </row>
    <row r="124" spans="2:43" ht="28.8" x14ac:dyDescent="0.3">
      <c r="B124" s="10" t="s">
        <v>407</v>
      </c>
      <c r="C124" s="61"/>
      <c r="D124" s="8" t="s">
        <v>237</v>
      </c>
      <c r="E124" s="7" t="s">
        <v>316</v>
      </c>
      <c r="F124" s="8" t="s">
        <v>240</v>
      </c>
      <c r="G124" s="8" t="s">
        <v>161</v>
      </c>
      <c r="H124" s="38" t="s">
        <v>26</v>
      </c>
      <c r="J124" s="4">
        <v>4</v>
      </c>
      <c r="K124" s="4" t="s">
        <v>169</v>
      </c>
      <c r="L124" s="5">
        <v>7.0000000000000001E-3</v>
      </c>
      <c r="N124" s="22">
        <v>4</v>
      </c>
      <c r="O124" s="22">
        <v>4</v>
      </c>
      <c r="P124" s="22">
        <v>4.0060000000000002</v>
      </c>
      <c r="Q124" s="27">
        <f t="shared" si="104"/>
        <v>0</v>
      </c>
      <c r="R124" s="27">
        <f t="shared" si="105"/>
        <v>1.5000000000000568E-3</v>
      </c>
      <c r="S124" s="38" t="s">
        <v>26</v>
      </c>
      <c r="V124" s="22">
        <v>4</v>
      </c>
      <c r="W124" s="22">
        <v>3.9990000000000001</v>
      </c>
      <c r="X124" s="22">
        <v>4.0049999999999999</v>
      </c>
      <c r="Y124" s="27">
        <f t="shared" si="78"/>
        <v>-2.4999999999997247E-4</v>
      </c>
      <c r="Z124" s="27">
        <f t="shared" si="79"/>
        <v>1.2499999999999734E-3</v>
      </c>
      <c r="AA124" s="38" t="s">
        <v>26</v>
      </c>
      <c r="AD124" s="22">
        <v>4</v>
      </c>
      <c r="AE124" s="22">
        <v>4.0010000000000003</v>
      </c>
      <c r="AF124" s="22">
        <v>4.0090000000000003</v>
      </c>
      <c r="AG124" s="27">
        <f t="shared" si="80"/>
        <v>2.5000000000008349E-4</v>
      </c>
      <c r="AH124" s="27">
        <f t="shared" si="81"/>
        <v>2.2500000000000853E-3</v>
      </c>
      <c r="AI124" s="38" t="s">
        <v>26</v>
      </c>
      <c r="AL124" s="22">
        <v>4</v>
      </c>
      <c r="AM124" s="22">
        <v>4.0010000000000003</v>
      </c>
      <c r="AN124" s="22">
        <v>4.0090000000000003</v>
      </c>
      <c r="AO124" s="27">
        <f t="shared" si="82"/>
        <v>2.5000000000008349E-4</v>
      </c>
      <c r="AP124" s="27">
        <f t="shared" si="83"/>
        <v>2.2500000000000853E-3</v>
      </c>
      <c r="AQ124" s="38" t="s">
        <v>26</v>
      </c>
    </row>
    <row r="125" spans="2:43" ht="28.8" x14ac:dyDescent="0.3">
      <c r="B125" s="10" t="s">
        <v>408</v>
      </c>
      <c r="C125" s="61"/>
      <c r="D125" s="8" t="s">
        <v>237</v>
      </c>
      <c r="E125" s="7" t="s">
        <v>316</v>
      </c>
      <c r="F125" s="8" t="s">
        <v>240</v>
      </c>
      <c r="G125" s="8" t="s">
        <v>162</v>
      </c>
      <c r="H125" s="38" t="s">
        <v>26</v>
      </c>
      <c r="J125" s="4">
        <v>4</v>
      </c>
      <c r="K125" s="4" t="s">
        <v>169</v>
      </c>
      <c r="L125" s="5">
        <v>7.0000000000000001E-3</v>
      </c>
      <c r="N125" s="22">
        <v>4</v>
      </c>
      <c r="O125" s="22">
        <v>4</v>
      </c>
      <c r="P125" s="22">
        <v>4.0039999999999996</v>
      </c>
      <c r="Q125" s="27">
        <f t="shared" si="104"/>
        <v>0</v>
      </c>
      <c r="R125" s="27">
        <f t="shared" si="105"/>
        <v>9.9999999999988987E-4</v>
      </c>
      <c r="S125" s="38" t="s">
        <v>26</v>
      </c>
      <c r="V125" s="22">
        <v>4</v>
      </c>
      <c r="W125" s="22">
        <v>3.9980000000000002</v>
      </c>
      <c r="X125" s="22">
        <v>4.008</v>
      </c>
      <c r="Y125" s="27">
        <f t="shared" si="78"/>
        <v>-4.9999999999994493E-4</v>
      </c>
      <c r="Z125" s="27">
        <f t="shared" si="79"/>
        <v>2.0000000000000018E-3</v>
      </c>
      <c r="AA125" s="38" t="s">
        <v>26</v>
      </c>
      <c r="AD125" s="22">
        <v>4</v>
      </c>
      <c r="AE125" s="22">
        <v>3.9990000000000001</v>
      </c>
      <c r="AF125" s="22">
        <v>4.008</v>
      </c>
      <c r="AG125" s="27">
        <f t="shared" si="80"/>
        <v>-2.4999999999997247E-4</v>
      </c>
      <c r="AH125" s="27">
        <f t="shared" si="81"/>
        <v>2.0000000000000018E-3</v>
      </c>
      <c r="AI125" s="38" t="s">
        <v>26</v>
      </c>
      <c r="AL125" s="22">
        <v>4</v>
      </c>
      <c r="AM125" s="22">
        <v>3.9990000000000001</v>
      </c>
      <c r="AN125" s="22">
        <v>4.008</v>
      </c>
      <c r="AO125" s="27">
        <f t="shared" si="82"/>
        <v>-2.4999999999997247E-4</v>
      </c>
      <c r="AP125" s="27">
        <f t="shared" si="83"/>
        <v>2.0000000000000018E-3</v>
      </c>
      <c r="AQ125" s="38" t="s">
        <v>26</v>
      </c>
    </row>
    <row r="126" spans="2:43" ht="28.8" x14ac:dyDescent="0.3">
      <c r="B126" s="10" t="s">
        <v>409</v>
      </c>
      <c r="C126" s="61"/>
      <c r="D126" s="8" t="s">
        <v>237</v>
      </c>
      <c r="E126" s="7" t="s">
        <v>316</v>
      </c>
      <c r="F126" s="8" t="s">
        <v>240</v>
      </c>
      <c r="G126" s="8" t="s">
        <v>163</v>
      </c>
      <c r="H126" s="38" t="s">
        <v>26</v>
      </c>
      <c r="J126" s="4">
        <v>4</v>
      </c>
      <c r="K126" s="4" t="s">
        <v>169</v>
      </c>
      <c r="L126" s="5">
        <v>7.0000000000000001E-3</v>
      </c>
      <c r="N126" s="22">
        <v>4</v>
      </c>
      <c r="O126" s="22">
        <v>4</v>
      </c>
      <c r="P126" s="22">
        <v>4.0039999999999996</v>
      </c>
      <c r="Q126" s="27">
        <f t="shared" si="104"/>
        <v>0</v>
      </c>
      <c r="R126" s="27">
        <f t="shared" si="105"/>
        <v>9.9999999999988987E-4</v>
      </c>
      <c r="S126" s="38" t="s">
        <v>26</v>
      </c>
      <c r="V126" s="22">
        <v>4</v>
      </c>
      <c r="W126" s="22">
        <v>3.9950000000000001</v>
      </c>
      <c r="X126" s="22">
        <v>4.0030000000000001</v>
      </c>
      <c r="Y126" s="27">
        <f t="shared" si="78"/>
        <v>-1.2499999999999734E-3</v>
      </c>
      <c r="Z126" s="27">
        <f t="shared" si="79"/>
        <v>7.5000000000002842E-4</v>
      </c>
      <c r="AA126" s="38" t="s">
        <v>26</v>
      </c>
      <c r="AD126" s="22">
        <v>4</v>
      </c>
      <c r="AE126" s="22">
        <v>3.9969999999999999</v>
      </c>
      <c r="AF126" s="22">
        <v>4.0060000000000002</v>
      </c>
      <c r="AG126" s="27">
        <f t="shared" si="80"/>
        <v>-7.5000000000002842E-4</v>
      </c>
      <c r="AH126" s="27">
        <f t="shared" si="81"/>
        <v>1.5000000000000568E-3</v>
      </c>
      <c r="AI126" s="38" t="s">
        <v>26</v>
      </c>
      <c r="AL126" s="22">
        <v>4</v>
      </c>
      <c r="AM126" s="22">
        <v>3.9969999999999999</v>
      </c>
      <c r="AN126" s="22">
        <v>4.0060000000000002</v>
      </c>
      <c r="AO126" s="27">
        <f t="shared" si="82"/>
        <v>-7.5000000000002842E-4</v>
      </c>
      <c r="AP126" s="27">
        <f t="shared" si="83"/>
        <v>1.5000000000000568E-3</v>
      </c>
      <c r="AQ126" s="38" t="s">
        <v>26</v>
      </c>
    </row>
    <row r="127" spans="2:43" ht="28.8" x14ac:dyDescent="0.3">
      <c r="B127" s="10" t="s">
        <v>410</v>
      </c>
      <c r="C127" s="61"/>
      <c r="D127" s="8" t="s">
        <v>237</v>
      </c>
      <c r="E127" s="7" t="s">
        <v>316</v>
      </c>
      <c r="F127" s="8" t="s">
        <v>240</v>
      </c>
      <c r="G127" s="8" t="s">
        <v>164</v>
      </c>
      <c r="H127" s="38" t="s">
        <v>26</v>
      </c>
      <c r="J127" s="4">
        <v>4</v>
      </c>
      <c r="K127" s="4" t="s">
        <v>169</v>
      </c>
      <c r="L127" s="5">
        <v>7.0000000000000001E-3</v>
      </c>
      <c r="N127" s="22">
        <v>4</v>
      </c>
      <c r="O127" s="22">
        <v>4</v>
      </c>
      <c r="P127" s="22">
        <v>4.0049999999999999</v>
      </c>
      <c r="Q127" s="27">
        <f t="shared" si="104"/>
        <v>0</v>
      </c>
      <c r="R127" s="27">
        <f t="shared" si="105"/>
        <v>1.2499999999999734E-3</v>
      </c>
      <c r="S127" s="38" t="s">
        <v>26</v>
      </c>
      <c r="V127" s="22">
        <v>4</v>
      </c>
      <c r="W127" s="22">
        <v>3.9950000000000001</v>
      </c>
      <c r="X127" s="22">
        <v>4.0049999999999999</v>
      </c>
      <c r="Y127" s="27">
        <f t="shared" si="78"/>
        <v>-1.2499999999999734E-3</v>
      </c>
      <c r="Z127" s="27">
        <f t="shared" si="79"/>
        <v>1.2499999999999734E-3</v>
      </c>
      <c r="AA127" s="38" t="s">
        <v>26</v>
      </c>
      <c r="AD127" s="22">
        <v>4</v>
      </c>
      <c r="AE127" s="22">
        <v>3.9980000000000002</v>
      </c>
      <c r="AF127" s="22">
        <v>4.0129999999999999</v>
      </c>
      <c r="AG127" s="27">
        <f t="shared" si="80"/>
        <v>-4.9999999999994493E-4</v>
      </c>
      <c r="AH127" s="27">
        <f t="shared" si="81"/>
        <v>3.2499999999999751E-3</v>
      </c>
      <c r="AI127" s="38" t="s">
        <v>26</v>
      </c>
      <c r="AL127" s="22">
        <v>4</v>
      </c>
      <c r="AM127" s="22">
        <v>3.9980000000000002</v>
      </c>
      <c r="AN127" s="22">
        <v>4.0129999999999999</v>
      </c>
      <c r="AO127" s="27">
        <f t="shared" si="82"/>
        <v>-4.9999999999994493E-4</v>
      </c>
      <c r="AP127" s="27">
        <f t="shared" si="83"/>
        <v>3.2499999999999751E-3</v>
      </c>
      <c r="AQ127" s="38" t="s">
        <v>26</v>
      </c>
    </row>
    <row r="128" spans="2:43" ht="28.8" x14ac:dyDescent="0.3">
      <c r="B128" s="10" t="s">
        <v>411</v>
      </c>
      <c r="C128" s="61"/>
      <c r="D128" s="8" t="s">
        <v>237</v>
      </c>
      <c r="E128" s="7" t="s">
        <v>316</v>
      </c>
      <c r="F128" s="8" t="s">
        <v>240</v>
      </c>
      <c r="G128" s="8" t="s">
        <v>165</v>
      </c>
      <c r="H128" s="38" t="s">
        <v>26</v>
      </c>
      <c r="J128" s="4">
        <v>4</v>
      </c>
      <c r="K128" s="4" t="s">
        <v>169</v>
      </c>
      <c r="L128" s="5">
        <v>7.0000000000000001E-3</v>
      </c>
      <c r="N128" s="22">
        <v>4</v>
      </c>
      <c r="O128" s="22">
        <v>4</v>
      </c>
      <c r="P128" s="22">
        <v>4.0049999999999999</v>
      </c>
      <c r="Q128" s="27">
        <f t="shared" si="104"/>
        <v>0</v>
      </c>
      <c r="R128" s="27">
        <f t="shared" si="105"/>
        <v>1.2499999999999734E-3</v>
      </c>
      <c r="S128" s="38" t="s">
        <v>26</v>
      </c>
      <c r="V128" s="22">
        <v>4</v>
      </c>
      <c r="W128" s="22">
        <v>3.996</v>
      </c>
      <c r="X128" s="22">
        <v>4.0049999999999999</v>
      </c>
      <c r="Y128" s="27">
        <f t="shared" si="78"/>
        <v>-1.0000000000000009E-3</v>
      </c>
      <c r="Z128" s="27">
        <f t="shared" si="79"/>
        <v>1.2499999999999734E-3</v>
      </c>
      <c r="AA128" s="38" t="s">
        <v>26</v>
      </c>
      <c r="AD128" s="22">
        <v>4</v>
      </c>
      <c r="AE128" s="22">
        <v>3.9980000000000002</v>
      </c>
      <c r="AF128" s="22">
        <v>4.0140000000000002</v>
      </c>
      <c r="AG128" s="27">
        <f t="shared" si="80"/>
        <v>-4.9999999999994493E-4</v>
      </c>
      <c r="AH128" s="27">
        <f t="shared" si="81"/>
        <v>3.5000000000000586E-3</v>
      </c>
      <c r="AI128" s="38" t="s">
        <v>26</v>
      </c>
      <c r="AL128" s="22">
        <v>4</v>
      </c>
      <c r="AM128" s="22">
        <v>3.9980000000000002</v>
      </c>
      <c r="AN128" s="22">
        <v>4.0140000000000002</v>
      </c>
      <c r="AO128" s="27">
        <f t="shared" si="82"/>
        <v>-4.9999999999994493E-4</v>
      </c>
      <c r="AP128" s="27">
        <f t="shared" si="83"/>
        <v>3.5000000000000586E-3</v>
      </c>
      <c r="AQ128" s="38" t="s">
        <v>26</v>
      </c>
    </row>
    <row r="129" spans="2:43" ht="28.8" x14ac:dyDescent="0.3">
      <c r="B129" s="10" t="s">
        <v>412</v>
      </c>
      <c r="C129" s="61"/>
      <c r="D129" s="8" t="s">
        <v>237</v>
      </c>
      <c r="E129" s="8" t="s">
        <v>317</v>
      </c>
      <c r="F129" s="8" t="s">
        <v>241</v>
      </c>
      <c r="G129" s="8" t="s">
        <v>238</v>
      </c>
      <c r="H129" s="38" t="s">
        <v>26</v>
      </c>
      <c r="J129" s="4">
        <v>0.1</v>
      </c>
      <c r="K129" s="4" t="s">
        <v>169</v>
      </c>
      <c r="L129" s="5">
        <v>6.9000000000000006E-2</v>
      </c>
      <c r="N129" s="26">
        <v>9.8400000000000001E-2</v>
      </c>
      <c r="Q129" s="27">
        <f t="shared" ref="Q129" si="106">(N129-$J129)/$J129</f>
        <v>-1.6000000000000042E-2</v>
      </c>
      <c r="R129" s="27"/>
      <c r="S129" s="38" t="s">
        <v>26</v>
      </c>
      <c r="V129" s="26">
        <v>9.9299999999999999E-2</v>
      </c>
      <c r="Y129" s="27">
        <f t="shared" ref="Y129:Y152" si="107">(V129-$J129)/$J129</f>
        <v>-7.0000000000000617E-3</v>
      </c>
      <c r="Z129" s="27"/>
      <c r="AA129" s="38" t="s">
        <v>26</v>
      </c>
      <c r="AD129" s="26">
        <v>9.9199999999999997E-2</v>
      </c>
      <c r="AG129" s="27">
        <f t="shared" ref="AG129:AG152" si="108">(AD129-$J129)/$J129</f>
        <v>-8.0000000000000904E-3</v>
      </c>
      <c r="AH129" s="27"/>
      <c r="AI129" s="38" t="s">
        <v>26</v>
      </c>
      <c r="AL129" s="26">
        <v>9.9199999999999997E-2</v>
      </c>
      <c r="AO129" s="27">
        <f t="shared" ref="AO129:AO152" si="109">(AL129-$J129)/$J129</f>
        <v>-8.0000000000000904E-3</v>
      </c>
      <c r="AP129" s="27"/>
      <c r="AQ129" s="38" t="s">
        <v>26</v>
      </c>
    </row>
    <row r="130" spans="2:43" ht="28.8" x14ac:dyDescent="0.3">
      <c r="B130" s="10" t="s">
        <v>413</v>
      </c>
      <c r="C130" s="61"/>
      <c r="D130" s="8" t="s">
        <v>237</v>
      </c>
      <c r="E130" s="8" t="s">
        <v>317</v>
      </c>
      <c r="F130" s="8" t="s">
        <v>241</v>
      </c>
      <c r="G130" s="8" t="s">
        <v>155</v>
      </c>
      <c r="H130" s="38" t="s">
        <v>26</v>
      </c>
      <c r="J130" s="4">
        <v>0.1</v>
      </c>
      <c r="K130" s="4" t="s">
        <v>169</v>
      </c>
      <c r="L130" s="5">
        <v>6.9000000000000006E-2</v>
      </c>
      <c r="N130" s="26">
        <v>9.8400000000000001E-2</v>
      </c>
      <c r="Q130" s="27">
        <f t="shared" ref="Q130:Q141" si="110">(N130-$J130)/$J130</f>
        <v>-1.6000000000000042E-2</v>
      </c>
      <c r="R130" s="27"/>
      <c r="S130" s="38" t="s">
        <v>26</v>
      </c>
      <c r="V130" s="26">
        <v>0.10050000000000001</v>
      </c>
      <c r="Y130" s="27">
        <f t="shared" si="107"/>
        <v>5.0000000000000044E-3</v>
      </c>
      <c r="Z130" s="27"/>
      <c r="AA130" s="38" t="s">
        <v>26</v>
      </c>
      <c r="AD130" s="26">
        <v>9.98E-2</v>
      </c>
      <c r="AG130" s="27">
        <f t="shared" si="108"/>
        <v>-2.0000000000000573E-3</v>
      </c>
      <c r="AH130" s="27"/>
      <c r="AI130" s="38" t="s">
        <v>26</v>
      </c>
      <c r="AL130" s="26">
        <v>9.98E-2</v>
      </c>
      <c r="AO130" s="27">
        <f t="shared" si="109"/>
        <v>-2.0000000000000573E-3</v>
      </c>
      <c r="AP130" s="27"/>
      <c r="AQ130" s="38" t="s">
        <v>26</v>
      </c>
    </row>
    <row r="131" spans="2:43" ht="28.8" x14ac:dyDescent="0.3">
      <c r="B131" s="10" t="s">
        <v>414</v>
      </c>
      <c r="C131" s="61"/>
      <c r="D131" s="8" t="s">
        <v>237</v>
      </c>
      <c r="E131" s="8" t="s">
        <v>317</v>
      </c>
      <c r="F131" s="8" t="s">
        <v>241</v>
      </c>
      <c r="G131" s="8" t="s">
        <v>156</v>
      </c>
      <c r="H131" s="38" t="s">
        <v>26</v>
      </c>
      <c r="J131" s="4">
        <v>0.1</v>
      </c>
      <c r="K131" s="4" t="s">
        <v>169</v>
      </c>
      <c r="L131" s="5">
        <v>6.9000000000000006E-2</v>
      </c>
      <c r="N131" s="26">
        <v>9.8199999999999996E-2</v>
      </c>
      <c r="Q131" s="27">
        <f t="shared" si="110"/>
        <v>-1.8000000000000099E-2</v>
      </c>
      <c r="R131" s="27"/>
      <c r="S131" s="38" t="s">
        <v>26</v>
      </c>
      <c r="V131" s="26">
        <v>0.1004</v>
      </c>
      <c r="Y131" s="27">
        <f t="shared" si="107"/>
        <v>3.9999999999999758E-3</v>
      </c>
      <c r="Z131" s="27"/>
      <c r="AA131" s="38" t="s">
        <v>26</v>
      </c>
      <c r="AD131" s="26">
        <v>9.9900000000000003E-2</v>
      </c>
      <c r="AG131" s="27">
        <f t="shared" si="108"/>
        <v>-1.0000000000000286E-3</v>
      </c>
      <c r="AH131" s="27"/>
      <c r="AI131" s="38" t="s">
        <v>26</v>
      </c>
      <c r="AL131" s="26">
        <v>9.9900000000000003E-2</v>
      </c>
      <c r="AO131" s="27">
        <f t="shared" si="109"/>
        <v>-1.0000000000000286E-3</v>
      </c>
      <c r="AP131" s="27"/>
      <c r="AQ131" s="38" t="s">
        <v>26</v>
      </c>
    </row>
    <row r="132" spans="2:43" ht="28.8" x14ac:dyDescent="0.3">
      <c r="B132" s="10" t="s">
        <v>415</v>
      </c>
      <c r="C132" s="61"/>
      <c r="D132" s="8" t="s">
        <v>237</v>
      </c>
      <c r="E132" s="8" t="s">
        <v>317</v>
      </c>
      <c r="F132" s="8" t="s">
        <v>241</v>
      </c>
      <c r="G132" s="8" t="s">
        <v>157</v>
      </c>
      <c r="H132" s="38" t="s">
        <v>26</v>
      </c>
      <c r="J132" s="4">
        <v>0.1</v>
      </c>
      <c r="K132" s="4" t="s">
        <v>169</v>
      </c>
      <c r="L132" s="5">
        <v>6.9000000000000006E-2</v>
      </c>
      <c r="N132" s="26">
        <v>9.8500000000000004E-2</v>
      </c>
      <c r="Q132" s="27">
        <f t="shared" si="110"/>
        <v>-1.5000000000000013E-2</v>
      </c>
      <c r="R132" s="27"/>
      <c r="S132" s="38" t="s">
        <v>26</v>
      </c>
      <c r="V132" s="26">
        <v>9.9900000000000003E-2</v>
      </c>
      <c r="Y132" s="27">
        <f t="shared" si="107"/>
        <v>-1.0000000000000286E-3</v>
      </c>
      <c r="Z132" s="27"/>
      <c r="AA132" s="38" t="s">
        <v>26</v>
      </c>
      <c r="AD132" s="26">
        <v>9.9699999999999997E-2</v>
      </c>
      <c r="AG132" s="27">
        <f t="shared" si="108"/>
        <v>-3.0000000000000859E-3</v>
      </c>
      <c r="AH132" s="27"/>
      <c r="AI132" s="38" t="s">
        <v>26</v>
      </c>
      <c r="AL132" s="26">
        <v>9.9699999999999997E-2</v>
      </c>
      <c r="AO132" s="27">
        <f t="shared" si="109"/>
        <v>-3.0000000000000859E-3</v>
      </c>
      <c r="AP132" s="27"/>
      <c r="AQ132" s="38" t="s">
        <v>26</v>
      </c>
    </row>
    <row r="133" spans="2:43" ht="28.8" x14ac:dyDescent="0.3">
      <c r="B133" s="10" t="s">
        <v>416</v>
      </c>
      <c r="C133" s="61"/>
      <c r="D133" s="8" t="s">
        <v>237</v>
      </c>
      <c r="E133" s="8" t="s">
        <v>317</v>
      </c>
      <c r="F133" s="8" t="s">
        <v>241</v>
      </c>
      <c r="G133" s="8" t="s">
        <v>158</v>
      </c>
      <c r="H133" s="38" t="s">
        <v>26</v>
      </c>
      <c r="J133" s="4">
        <v>0.1</v>
      </c>
      <c r="K133" s="4" t="s">
        <v>169</v>
      </c>
      <c r="L133" s="5">
        <v>6.9000000000000006E-2</v>
      </c>
      <c r="N133" s="26">
        <v>9.8199999999999996E-2</v>
      </c>
      <c r="Q133" s="27">
        <f t="shared" si="110"/>
        <v>-1.8000000000000099E-2</v>
      </c>
      <c r="R133" s="27"/>
      <c r="S133" s="38" t="s">
        <v>26</v>
      </c>
      <c r="V133" s="26">
        <v>9.9099999999999994E-2</v>
      </c>
      <c r="Y133" s="27">
        <f t="shared" si="107"/>
        <v>-9.000000000000119E-3</v>
      </c>
      <c r="Z133" s="27"/>
      <c r="AA133" s="38" t="s">
        <v>26</v>
      </c>
      <c r="AD133" s="26">
        <v>9.9500000000000005E-2</v>
      </c>
      <c r="AG133" s="27">
        <f t="shared" si="108"/>
        <v>-5.0000000000000044E-3</v>
      </c>
      <c r="AH133" s="27"/>
      <c r="AI133" s="38" t="s">
        <v>26</v>
      </c>
      <c r="AL133" s="26">
        <v>9.9500000000000005E-2</v>
      </c>
      <c r="AO133" s="27">
        <f t="shared" si="109"/>
        <v>-5.0000000000000044E-3</v>
      </c>
      <c r="AP133" s="27"/>
      <c r="AQ133" s="38" t="s">
        <v>26</v>
      </c>
    </row>
    <row r="134" spans="2:43" ht="28.8" x14ac:dyDescent="0.3">
      <c r="B134" s="10" t="s">
        <v>417</v>
      </c>
      <c r="C134" s="61"/>
      <c r="D134" s="8" t="s">
        <v>237</v>
      </c>
      <c r="E134" s="8" t="s">
        <v>317</v>
      </c>
      <c r="F134" s="8" t="s">
        <v>241</v>
      </c>
      <c r="G134" s="8" t="s">
        <v>159</v>
      </c>
      <c r="H134" s="38" t="s">
        <v>26</v>
      </c>
      <c r="J134" s="4">
        <v>0.1</v>
      </c>
      <c r="K134" s="4" t="s">
        <v>169</v>
      </c>
      <c r="L134" s="5">
        <v>6.9000000000000006E-2</v>
      </c>
      <c r="N134" s="26">
        <v>9.7799999999999998E-2</v>
      </c>
      <c r="Q134" s="27">
        <f t="shared" si="110"/>
        <v>-2.2000000000000075E-2</v>
      </c>
      <c r="R134" s="27"/>
      <c r="S134" s="38" t="s">
        <v>26</v>
      </c>
      <c r="V134" s="26">
        <v>9.9500000000000005E-2</v>
      </c>
      <c r="Y134" s="27">
        <f t="shared" si="107"/>
        <v>-5.0000000000000044E-3</v>
      </c>
      <c r="Z134" s="27"/>
      <c r="AA134" s="38" t="s">
        <v>26</v>
      </c>
      <c r="AD134" s="26">
        <v>9.9400000000000002E-2</v>
      </c>
      <c r="AG134" s="27">
        <f t="shared" si="108"/>
        <v>-6.0000000000000331E-3</v>
      </c>
      <c r="AH134" s="27"/>
      <c r="AI134" s="38" t="s">
        <v>26</v>
      </c>
      <c r="AL134" s="26">
        <v>9.9400000000000002E-2</v>
      </c>
      <c r="AO134" s="27">
        <f t="shared" si="109"/>
        <v>-6.0000000000000331E-3</v>
      </c>
      <c r="AP134" s="27"/>
      <c r="AQ134" s="38" t="s">
        <v>26</v>
      </c>
    </row>
    <row r="135" spans="2:43" ht="28.8" x14ac:dyDescent="0.3">
      <c r="B135" s="10" t="s">
        <v>418</v>
      </c>
      <c r="C135" s="61"/>
      <c r="D135" s="8" t="s">
        <v>237</v>
      </c>
      <c r="E135" s="8" t="s">
        <v>317</v>
      </c>
      <c r="F135" s="8" t="s">
        <v>241</v>
      </c>
      <c r="G135" s="8" t="s">
        <v>160</v>
      </c>
      <c r="H135" s="38" t="s">
        <v>26</v>
      </c>
      <c r="J135" s="4">
        <v>0.1</v>
      </c>
      <c r="K135" s="4" t="s">
        <v>169</v>
      </c>
      <c r="L135" s="5">
        <v>6.9000000000000006E-2</v>
      </c>
      <c r="N135" s="26">
        <v>9.8199999999999996E-2</v>
      </c>
      <c r="Q135" s="27">
        <f t="shared" si="110"/>
        <v>-1.8000000000000099E-2</v>
      </c>
      <c r="R135" s="27"/>
      <c r="S135" s="38" t="s">
        <v>26</v>
      </c>
      <c r="V135" s="26">
        <v>9.9599999999999994E-2</v>
      </c>
      <c r="Y135" s="27">
        <f t="shared" si="107"/>
        <v>-4.0000000000001146E-3</v>
      </c>
      <c r="Z135" s="27"/>
      <c r="AA135" s="38" t="s">
        <v>26</v>
      </c>
      <c r="AD135" s="26">
        <v>0.1</v>
      </c>
      <c r="AG135" s="27">
        <f t="shared" si="108"/>
        <v>0</v>
      </c>
      <c r="AH135" s="27"/>
      <c r="AI135" s="38" t="s">
        <v>26</v>
      </c>
      <c r="AL135" s="26">
        <v>0.1</v>
      </c>
      <c r="AO135" s="27">
        <f t="shared" si="109"/>
        <v>0</v>
      </c>
      <c r="AP135" s="27"/>
      <c r="AQ135" s="38" t="s">
        <v>26</v>
      </c>
    </row>
    <row r="136" spans="2:43" ht="28.8" x14ac:dyDescent="0.3">
      <c r="B136" s="10" t="s">
        <v>419</v>
      </c>
      <c r="C136" s="61"/>
      <c r="D136" s="8" t="s">
        <v>237</v>
      </c>
      <c r="E136" s="8" t="s">
        <v>317</v>
      </c>
      <c r="F136" s="8" t="s">
        <v>241</v>
      </c>
      <c r="G136" s="8" t="s">
        <v>161</v>
      </c>
      <c r="H136" s="38" t="s">
        <v>26</v>
      </c>
      <c r="J136" s="4">
        <v>0.1</v>
      </c>
      <c r="K136" s="4" t="s">
        <v>169</v>
      </c>
      <c r="L136" s="5">
        <v>6.9000000000000006E-2</v>
      </c>
      <c r="N136" s="26">
        <v>9.8199999999999996E-2</v>
      </c>
      <c r="Q136" s="27">
        <f t="shared" si="110"/>
        <v>-1.8000000000000099E-2</v>
      </c>
      <c r="R136" s="27"/>
      <c r="S136" s="38" t="s">
        <v>26</v>
      </c>
      <c r="V136" s="26">
        <v>9.98E-2</v>
      </c>
      <c r="Y136" s="27">
        <f t="shared" si="107"/>
        <v>-2.0000000000000573E-3</v>
      </c>
      <c r="Z136" s="27"/>
      <c r="AA136" s="38" t="s">
        <v>26</v>
      </c>
      <c r="AD136" s="26">
        <v>9.9500000000000005E-2</v>
      </c>
      <c r="AG136" s="27">
        <f t="shared" si="108"/>
        <v>-5.0000000000000044E-3</v>
      </c>
      <c r="AH136" s="27"/>
      <c r="AI136" s="38" t="s">
        <v>26</v>
      </c>
      <c r="AL136" s="26">
        <v>9.9500000000000005E-2</v>
      </c>
      <c r="AO136" s="27">
        <f t="shared" si="109"/>
        <v>-5.0000000000000044E-3</v>
      </c>
      <c r="AP136" s="27"/>
      <c r="AQ136" s="38" t="s">
        <v>26</v>
      </c>
    </row>
    <row r="137" spans="2:43" ht="28.8" x14ac:dyDescent="0.3">
      <c r="B137" s="10" t="s">
        <v>420</v>
      </c>
      <c r="C137" s="61"/>
      <c r="D137" s="8" t="s">
        <v>237</v>
      </c>
      <c r="E137" s="8" t="s">
        <v>317</v>
      </c>
      <c r="F137" s="8" t="s">
        <v>241</v>
      </c>
      <c r="G137" s="8" t="s">
        <v>162</v>
      </c>
      <c r="H137" s="38" t="s">
        <v>26</v>
      </c>
      <c r="J137" s="4">
        <v>0.1</v>
      </c>
      <c r="K137" s="4" t="s">
        <v>169</v>
      </c>
      <c r="L137" s="5">
        <v>6.9000000000000006E-2</v>
      </c>
      <c r="N137" s="26">
        <v>9.8400000000000001E-2</v>
      </c>
      <c r="Q137" s="27">
        <f t="shared" si="110"/>
        <v>-1.6000000000000042E-2</v>
      </c>
      <c r="R137" s="27"/>
      <c r="S137" s="38" t="s">
        <v>26</v>
      </c>
      <c r="V137" s="26">
        <v>9.9500000000000005E-2</v>
      </c>
      <c r="Y137" s="27">
        <f t="shared" si="107"/>
        <v>-5.0000000000000044E-3</v>
      </c>
      <c r="Z137" s="27"/>
      <c r="AA137" s="38" t="s">
        <v>26</v>
      </c>
      <c r="AD137" s="26">
        <v>9.9699999999999997E-2</v>
      </c>
      <c r="AG137" s="27">
        <f t="shared" si="108"/>
        <v>-3.0000000000000859E-3</v>
      </c>
      <c r="AH137" s="27"/>
      <c r="AI137" s="38" t="s">
        <v>26</v>
      </c>
      <c r="AL137" s="26">
        <v>9.9699999999999997E-2</v>
      </c>
      <c r="AO137" s="27">
        <f t="shared" si="109"/>
        <v>-3.0000000000000859E-3</v>
      </c>
      <c r="AP137" s="27"/>
      <c r="AQ137" s="38" t="s">
        <v>26</v>
      </c>
    </row>
    <row r="138" spans="2:43" ht="28.8" x14ac:dyDescent="0.3">
      <c r="B138" s="10" t="s">
        <v>421</v>
      </c>
      <c r="C138" s="61"/>
      <c r="D138" s="8" t="s">
        <v>237</v>
      </c>
      <c r="E138" s="8" t="s">
        <v>317</v>
      </c>
      <c r="F138" s="8" t="s">
        <v>241</v>
      </c>
      <c r="G138" s="8" t="s">
        <v>163</v>
      </c>
      <c r="H138" s="38" t="s">
        <v>26</v>
      </c>
      <c r="J138" s="4">
        <v>0.1</v>
      </c>
      <c r="K138" s="4" t="s">
        <v>169</v>
      </c>
      <c r="L138" s="5">
        <v>6.9000000000000006E-2</v>
      </c>
      <c r="N138" s="26">
        <v>9.8500000000000004E-2</v>
      </c>
      <c r="Q138" s="27">
        <f t="shared" si="110"/>
        <v>-1.5000000000000013E-2</v>
      </c>
      <c r="R138" s="27"/>
      <c r="S138" s="38" t="s">
        <v>26</v>
      </c>
      <c r="V138" s="26">
        <v>9.9299999999999999E-2</v>
      </c>
      <c r="Y138" s="27">
        <f t="shared" si="107"/>
        <v>-7.0000000000000617E-3</v>
      </c>
      <c r="Z138" s="27"/>
      <c r="AA138" s="38" t="s">
        <v>26</v>
      </c>
      <c r="AD138" s="26">
        <v>0.1004</v>
      </c>
      <c r="AG138" s="27">
        <f t="shared" si="108"/>
        <v>3.9999999999999758E-3</v>
      </c>
      <c r="AH138" s="27"/>
      <c r="AI138" s="38" t="s">
        <v>26</v>
      </c>
      <c r="AL138" s="26">
        <v>0.1004</v>
      </c>
      <c r="AO138" s="27">
        <f t="shared" si="109"/>
        <v>3.9999999999999758E-3</v>
      </c>
      <c r="AP138" s="27"/>
      <c r="AQ138" s="38" t="s">
        <v>26</v>
      </c>
    </row>
    <row r="139" spans="2:43" ht="28.8" x14ac:dyDescent="0.3">
      <c r="B139" s="10" t="s">
        <v>422</v>
      </c>
      <c r="C139" s="61"/>
      <c r="D139" s="8" t="s">
        <v>237</v>
      </c>
      <c r="E139" s="8" t="s">
        <v>317</v>
      </c>
      <c r="F139" s="8" t="s">
        <v>241</v>
      </c>
      <c r="G139" s="8" t="s">
        <v>164</v>
      </c>
      <c r="H139" s="38" t="s">
        <v>26</v>
      </c>
      <c r="J139" s="4">
        <v>0.1</v>
      </c>
      <c r="K139" s="4" t="s">
        <v>169</v>
      </c>
      <c r="L139" s="5">
        <v>6.9000000000000006E-2</v>
      </c>
      <c r="N139" s="26">
        <v>9.8400000000000001E-2</v>
      </c>
      <c r="Q139" s="27">
        <f t="shared" si="110"/>
        <v>-1.6000000000000042E-2</v>
      </c>
      <c r="R139" s="27"/>
      <c r="S139" s="38" t="s">
        <v>26</v>
      </c>
      <c r="V139" s="26">
        <v>9.9599999999999994E-2</v>
      </c>
      <c r="Y139" s="27">
        <f t="shared" si="107"/>
        <v>-4.0000000000001146E-3</v>
      </c>
      <c r="Z139" s="27"/>
      <c r="AA139" s="38" t="s">
        <v>26</v>
      </c>
      <c r="AD139" s="26">
        <v>9.9599999999999994E-2</v>
      </c>
      <c r="AG139" s="27">
        <f t="shared" si="108"/>
        <v>-4.0000000000001146E-3</v>
      </c>
      <c r="AH139" s="27"/>
      <c r="AI139" s="38" t="s">
        <v>26</v>
      </c>
      <c r="AL139" s="26">
        <v>9.9599999999999994E-2</v>
      </c>
      <c r="AO139" s="27">
        <f t="shared" si="109"/>
        <v>-4.0000000000001146E-3</v>
      </c>
      <c r="AP139" s="27"/>
      <c r="AQ139" s="38" t="s">
        <v>26</v>
      </c>
    </row>
    <row r="140" spans="2:43" ht="28.8" x14ac:dyDescent="0.3">
      <c r="B140" s="10" t="s">
        <v>423</v>
      </c>
      <c r="C140" s="61"/>
      <c r="D140" s="8" t="s">
        <v>237</v>
      </c>
      <c r="E140" s="8" t="s">
        <v>317</v>
      </c>
      <c r="F140" s="8" t="s">
        <v>241</v>
      </c>
      <c r="G140" s="8" t="s">
        <v>165</v>
      </c>
      <c r="H140" s="38" t="s">
        <v>26</v>
      </c>
      <c r="J140" s="4">
        <v>0.1</v>
      </c>
      <c r="K140" s="4" t="s">
        <v>169</v>
      </c>
      <c r="L140" s="5">
        <v>6.9000000000000006E-2</v>
      </c>
      <c r="N140" s="26">
        <v>9.9099999999999994E-2</v>
      </c>
      <c r="Q140" s="27">
        <f t="shared" si="110"/>
        <v>-9.000000000000119E-3</v>
      </c>
      <c r="R140" s="27"/>
      <c r="S140" s="38" t="s">
        <v>26</v>
      </c>
      <c r="V140" s="26">
        <v>9.9500000000000005E-2</v>
      </c>
      <c r="Y140" s="27">
        <f t="shared" si="107"/>
        <v>-5.0000000000000044E-3</v>
      </c>
      <c r="Z140" s="27"/>
      <c r="AA140" s="38" t="s">
        <v>26</v>
      </c>
      <c r="AD140" s="26">
        <v>9.9599999999999994E-2</v>
      </c>
      <c r="AG140" s="27">
        <f t="shared" si="108"/>
        <v>-4.0000000000001146E-3</v>
      </c>
      <c r="AH140" s="27"/>
      <c r="AI140" s="38" t="s">
        <v>26</v>
      </c>
      <c r="AL140" s="26">
        <v>9.9599999999999994E-2</v>
      </c>
      <c r="AO140" s="27">
        <f t="shared" si="109"/>
        <v>-4.0000000000001146E-3</v>
      </c>
      <c r="AP140" s="27"/>
      <c r="AQ140" s="38" t="s">
        <v>26</v>
      </c>
    </row>
    <row r="141" spans="2:43" ht="28.8" x14ac:dyDescent="0.3">
      <c r="B141" s="10" t="s">
        <v>424</v>
      </c>
      <c r="C141" s="61"/>
      <c r="D141" s="8" t="s">
        <v>237</v>
      </c>
      <c r="E141" s="8" t="s">
        <v>317</v>
      </c>
      <c r="F141" s="8" t="s">
        <v>242</v>
      </c>
      <c r="G141" s="8" t="s">
        <v>238</v>
      </c>
      <c r="H141" s="38" t="s">
        <v>26</v>
      </c>
      <c r="J141" s="4">
        <v>4</v>
      </c>
      <c r="K141" s="4" t="s">
        <v>169</v>
      </c>
      <c r="L141" s="5">
        <v>5.4999999999999997E-3</v>
      </c>
      <c r="N141" s="22">
        <v>3.9969999999999999</v>
      </c>
      <c r="Q141" s="27">
        <f t="shared" si="110"/>
        <v>-7.5000000000002842E-4</v>
      </c>
      <c r="R141" s="27"/>
      <c r="S141" s="38" t="s">
        <v>26</v>
      </c>
      <c r="V141" s="22">
        <v>3.9980000000000002</v>
      </c>
      <c r="Y141" s="27">
        <f t="shared" si="107"/>
        <v>-4.9999999999994493E-4</v>
      </c>
      <c r="Z141" s="27"/>
      <c r="AA141" s="38" t="s">
        <v>26</v>
      </c>
      <c r="AD141" s="22">
        <v>3.9980000000000002</v>
      </c>
      <c r="AG141" s="27">
        <f t="shared" si="108"/>
        <v>-4.9999999999994493E-4</v>
      </c>
      <c r="AH141" s="27"/>
      <c r="AI141" s="38" t="s">
        <v>26</v>
      </c>
      <c r="AL141" s="22">
        <v>3.9980000000000002</v>
      </c>
      <c r="AO141" s="27">
        <f t="shared" si="109"/>
        <v>-4.9999999999994493E-4</v>
      </c>
      <c r="AP141" s="27"/>
      <c r="AQ141" s="38" t="s">
        <v>26</v>
      </c>
    </row>
    <row r="142" spans="2:43" ht="28.8" x14ac:dyDescent="0.3">
      <c r="B142" s="10" t="s">
        <v>425</v>
      </c>
      <c r="C142" s="61"/>
      <c r="D142" s="8" t="s">
        <v>237</v>
      </c>
      <c r="E142" s="8" t="s">
        <v>317</v>
      </c>
      <c r="F142" s="8" t="s">
        <v>242</v>
      </c>
      <c r="G142" s="8" t="s">
        <v>155</v>
      </c>
      <c r="H142" s="38" t="s">
        <v>26</v>
      </c>
      <c r="J142" s="4">
        <v>4</v>
      </c>
      <c r="K142" s="4" t="s">
        <v>169</v>
      </c>
      <c r="L142" s="5">
        <v>5.4999999999999997E-3</v>
      </c>
      <c r="N142" s="22">
        <v>3.9969999999999999</v>
      </c>
      <c r="Q142" s="27">
        <f t="shared" ref="Q142:Q152" si="111">(N142-$J142)/$J142</f>
        <v>-7.5000000000002842E-4</v>
      </c>
      <c r="R142" s="27"/>
      <c r="S142" s="38" t="s">
        <v>26</v>
      </c>
      <c r="V142" s="22">
        <v>4</v>
      </c>
      <c r="Y142" s="27">
        <f t="shared" si="107"/>
        <v>0</v>
      </c>
      <c r="Z142" s="27"/>
      <c r="AA142" s="38" t="s">
        <v>26</v>
      </c>
      <c r="AD142" s="22">
        <v>3.9990000000000001</v>
      </c>
      <c r="AG142" s="27">
        <f t="shared" si="108"/>
        <v>-2.4999999999997247E-4</v>
      </c>
      <c r="AH142" s="27"/>
      <c r="AI142" s="38" t="s">
        <v>26</v>
      </c>
      <c r="AL142" s="22">
        <v>3.9990000000000001</v>
      </c>
      <c r="AO142" s="27">
        <f t="shared" si="109"/>
        <v>-2.4999999999997247E-4</v>
      </c>
      <c r="AP142" s="27"/>
      <c r="AQ142" s="38" t="s">
        <v>26</v>
      </c>
    </row>
    <row r="143" spans="2:43" ht="28.8" x14ac:dyDescent="0.3">
      <c r="B143" s="10" t="s">
        <v>426</v>
      </c>
      <c r="C143" s="61"/>
      <c r="D143" s="8" t="s">
        <v>237</v>
      </c>
      <c r="E143" s="8" t="s">
        <v>317</v>
      </c>
      <c r="F143" s="8" t="s">
        <v>242</v>
      </c>
      <c r="G143" s="8" t="s">
        <v>156</v>
      </c>
      <c r="H143" s="38" t="s">
        <v>26</v>
      </c>
      <c r="J143" s="4">
        <v>4</v>
      </c>
      <c r="K143" s="4" t="s">
        <v>169</v>
      </c>
      <c r="L143" s="5">
        <v>5.4999999999999997E-3</v>
      </c>
      <c r="N143" s="22">
        <v>3.9969999999999999</v>
      </c>
      <c r="Q143" s="27">
        <f t="shared" si="111"/>
        <v>-7.5000000000002842E-4</v>
      </c>
      <c r="R143" s="27"/>
      <c r="S143" s="38" t="s">
        <v>26</v>
      </c>
      <c r="V143" s="22">
        <v>3.9990000000000001</v>
      </c>
      <c r="Y143" s="27">
        <f t="shared" si="107"/>
        <v>-2.4999999999997247E-4</v>
      </c>
      <c r="Z143" s="27"/>
      <c r="AA143" s="38" t="s">
        <v>26</v>
      </c>
      <c r="AD143" s="22">
        <v>4</v>
      </c>
      <c r="AG143" s="27">
        <f t="shared" si="108"/>
        <v>0</v>
      </c>
      <c r="AH143" s="27"/>
      <c r="AI143" s="38" t="s">
        <v>26</v>
      </c>
      <c r="AL143" s="22">
        <v>4</v>
      </c>
      <c r="AO143" s="27">
        <f t="shared" si="109"/>
        <v>0</v>
      </c>
      <c r="AP143" s="27"/>
      <c r="AQ143" s="38" t="s">
        <v>26</v>
      </c>
    </row>
    <row r="144" spans="2:43" ht="28.8" x14ac:dyDescent="0.3">
      <c r="B144" s="10" t="s">
        <v>427</v>
      </c>
      <c r="C144" s="61"/>
      <c r="D144" s="8" t="s">
        <v>237</v>
      </c>
      <c r="E144" s="8" t="s">
        <v>317</v>
      </c>
      <c r="F144" s="8" t="s">
        <v>242</v>
      </c>
      <c r="G144" s="8" t="s">
        <v>157</v>
      </c>
      <c r="H144" s="38" t="s">
        <v>26</v>
      </c>
      <c r="J144" s="4">
        <v>4</v>
      </c>
      <c r="K144" s="4" t="s">
        <v>169</v>
      </c>
      <c r="L144" s="5">
        <v>5.4999999999999997E-3</v>
      </c>
      <c r="N144" s="22">
        <v>3.9980000000000002</v>
      </c>
      <c r="Q144" s="27">
        <f t="shared" si="111"/>
        <v>-4.9999999999994493E-4</v>
      </c>
      <c r="R144" s="27"/>
      <c r="S144" s="38" t="s">
        <v>26</v>
      </c>
      <c r="V144" s="22">
        <v>3.9990000000000001</v>
      </c>
      <c r="Y144" s="27">
        <f t="shared" si="107"/>
        <v>-2.4999999999997247E-4</v>
      </c>
      <c r="Z144" s="27"/>
      <c r="AA144" s="38" t="s">
        <v>26</v>
      </c>
      <c r="AD144" s="22">
        <v>4</v>
      </c>
      <c r="AG144" s="27">
        <f t="shared" si="108"/>
        <v>0</v>
      </c>
      <c r="AH144" s="27"/>
      <c r="AI144" s="38" t="s">
        <v>26</v>
      </c>
      <c r="AL144" s="22">
        <v>4</v>
      </c>
      <c r="AO144" s="27">
        <f t="shared" si="109"/>
        <v>0</v>
      </c>
      <c r="AP144" s="27"/>
      <c r="AQ144" s="38" t="s">
        <v>26</v>
      </c>
    </row>
    <row r="145" spans="2:43" ht="28.8" x14ac:dyDescent="0.3">
      <c r="B145" s="10" t="s">
        <v>428</v>
      </c>
      <c r="C145" s="61"/>
      <c r="D145" s="8" t="s">
        <v>237</v>
      </c>
      <c r="E145" s="8" t="s">
        <v>317</v>
      </c>
      <c r="F145" s="8" t="s">
        <v>242</v>
      </c>
      <c r="G145" s="8" t="s">
        <v>158</v>
      </c>
      <c r="H145" s="38" t="s">
        <v>26</v>
      </c>
      <c r="J145" s="4">
        <v>4</v>
      </c>
      <c r="K145" s="4" t="s">
        <v>169</v>
      </c>
      <c r="L145" s="5">
        <v>5.4999999999999997E-3</v>
      </c>
      <c r="N145" s="22">
        <v>3.9969999999999999</v>
      </c>
      <c r="Q145" s="27">
        <f t="shared" si="111"/>
        <v>-7.5000000000002842E-4</v>
      </c>
      <c r="R145" s="27"/>
      <c r="S145" s="38" t="s">
        <v>26</v>
      </c>
      <c r="V145" s="22">
        <v>3.9980000000000002</v>
      </c>
      <c r="Y145" s="27">
        <f t="shared" si="107"/>
        <v>-4.9999999999994493E-4</v>
      </c>
      <c r="Z145" s="27"/>
      <c r="AA145" s="38" t="s">
        <v>26</v>
      </c>
      <c r="AD145" s="22">
        <v>3.9990000000000001</v>
      </c>
      <c r="AG145" s="27">
        <f t="shared" si="108"/>
        <v>-2.4999999999997247E-4</v>
      </c>
      <c r="AH145" s="27"/>
      <c r="AI145" s="38" t="s">
        <v>26</v>
      </c>
      <c r="AL145" s="22">
        <v>3.9990000000000001</v>
      </c>
      <c r="AO145" s="27">
        <f t="shared" si="109"/>
        <v>-2.4999999999997247E-4</v>
      </c>
      <c r="AP145" s="27"/>
      <c r="AQ145" s="38" t="s">
        <v>26</v>
      </c>
    </row>
    <row r="146" spans="2:43" ht="28.8" x14ac:dyDescent="0.3">
      <c r="B146" s="10" t="s">
        <v>429</v>
      </c>
      <c r="C146" s="61"/>
      <c r="D146" s="8" t="s">
        <v>237</v>
      </c>
      <c r="E146" s="8" t="s">
        <v>317</v>
      </c>
      <c r="F146" s="8" t="s">
        <v>242</v>
      </c>
      <c r="G146" s="8" t="s">
        <v>159</v>
      </c>
      <c r="H146" s="38" t="s">
        <v>26</v>
      </c>
      <c r="J146" s="4">
        <v>4</v>
      </c>
      <c r="K146" s="4" t="s">
        <v>169</v>
      </c>
      <c r="L146" s="5">
        <v>5.4999999999999997E-3</v>
      </c>
      <c r="N146" s="22">
        <v>3.996</v>
      </c>
      <c r="Q146" s="27">
        <f t="shared" si="111"/>
        <v>-1.0000000000000009E-3</v>
      </c>
      <c r="R146" s="27"/>
      <c r="S146" s="38" t="s">
        <v>26</v>
      </c>
      <c r="V146" s="22">
        <v>3.9980000000000002</v>
      </c>
      <c r="Y146" s="27">
        <f t="shared" si="107"/>
        <v>-4.9999999999994493E-4</v>
      </c>
      <c r="Z146" s="27"/>
      <c r="AA146" s="38" t="s">
        <v>26</v>
      </c>
      <c r="AD146" s="22">
        <v>3.9980000000000002</v>
      </c>
      <c r="AG146" s="27">
        <f t="shared" si="108"/>
        <v>-4.9999999999994493E-4</v>
      </c>
      <c r="AH146" s="27"/>
      <c r="AI146" s="38" t="s">
        <v>26</v>
      </c>
      <c r="AL146" s="22">
        <v>3.9980000000000002</v>
      </c>
      <c r="AO146" s="27">
        <f t="shared" si="109"/>
        <v>-4.9999999999994493E-4</v>
      </c>
      <c r="AP146" s="27"/>
      <c r="AQ146" s="38" t="s">
        <v>26</v>
      </c>
    </row>
    <row r="147" spans="2:43" ht="28.8" x14ac:dyDescent="0.3">
      <c r="B147" s="10" t="s">
        <v>430</v>
      </c>
      <c r="C147" s="61"/>
      <c r="D147" s="8" t="s">
        <v>237</v>
      </c>
      <c r="E147" s="8" t="s">
        <v>317</v>
      </c>
      <c r="F147" s="8" t="s">
        <v>242</v>
      </c>
      <c r="G147" s="8" t="s">
        <v>160</v>
      </c>
      <c r="H147" s="38" t="s">
        <v>26</v>
      </c>
      <c r="J147" s="4">
        <v>4</v>
      </c>
      <c r="K147" s="4" t="s">
        <v>169</v>
      </c>
      <c r="L147" s="5">
        <v>5.4999999999999997E-3</v>
      </c>
      <c r="N147" s="22">
        <v>3.9969999999999999</v>
      </c>
      <c r="Q147" s="27">
        <f t="shared" si="111"/>
        <v>-7.5000000000002842E-4</v>
      </c>
      <c r="R147" s="27"/>
      <c r="S147" s="38" t="s">
        <v>26</v>
      </c>
      <c r="V147" s="22">
        <v>3.9980000000000002</v>
      </c>
      <c r="Y147" s="27">
        <f t="shared" si="107"/>
        <v>-4.9999999999994493E-4</v>
      </c>
      <c r="Z147" s="27"/>
      <c r="AA147" s="38" t="s">
        <v>26</v>
      </c>
      <c r="AD147" s="22">
        <v>3.9980000000000002</v>
      </c>
      <c r="AG147" s="27">
        <f t="shared" si="108"/>
        <v>-4.9999999999994493E-4</v>
      </c>
      <c r="AH147" s="27"/>
      <c r="AI147" s="38" t="s">
        <v>26</v>
      </c>
      <c r="AL147" s="22">
        <v>3.9980000000000002</v>
      </c>
      <c r="AO147" s="27">
        <f t="shared" si="109"/>
        <v>-4.9999999999994493E-4</v>
      </c>
      <c r="AP147" s="27"/>
      <c r="AQ147" s="38" t="s">
        <v>26</v>
      </c>
    </row>
    <row r="148" spans="2:43" ht="28.8" x14ac:dyDescent="0.3">
      <c r="B148" s="10" t="s">
        <v>431</v>
      </c>
      <c r="C148" s="61"/>
      <c r="D148" s="8" t="s">
        <v>237</v>
      </c>
      <c r="E148" s="8" t="s">
        <v>317</v>
      </c>
      <c r="F148" s="8" t="s">
        <v>242</v>
      </c>
      <c r="G148" s="8" t="s">
        <v>161</v>
      </c>
      <c r="H148" s="38" t="s">
        <v>26</v>
      </c>
      <c r="J148" s="4">
        <v>4</v>
      </c>
      <c r="K148" s="4" t="s">
        <v>169</v>
      </c>
      <c r="L148" s="5">
        <v>5.4999999999999997E-3</v>
      </c>
      <c r="N148" s="22">
        <v>3.9969999999999999</v>
      </c>
      <c r="Q148" s="27">
        <f t="shared" si="111"/>
        <v>-7.5000000000002842E-4</v>
      </c>
      <c r="R148" s="27"/>
      <c r="S148" s="38" t="s">
        <v>26</v>
      </c>
      <c r="V148" s="22">
        <v>3.9980000000000002</v>
      </c>
      <c r="Y148" s="27">
        <f t="shared" si="107"/>
        <v>-4.9999999999994493E-4</v>
      </c>
      <c r="Z148" s="27"/>
      <c r="AA148" s="38" t="s">
        <v>26</v>
      </c>
      <c r="AD148" s="22">
        <v>3.9990000000000001</v>
      </c>
      <c r="AG148" s="27">
        <f t="shared" si="108"/>
        <v>-2.4999999999997247E-4</v>
      </c>
      <c r="AH148" s="27"/>
      <c r="AI148" s="38" t="s">
        <v>26</v>
      </c>
      <c r="AL148" s="22">
        <v>3.9990000000000001</v>
      </c>
      <c r="AO148" s="27">
        <f t="shared" si="109"/>
        <v>-2.4999999999997247E-4</v>
      </c>
      <c r="AP148" s="27"/>
      <c r="AQ148" s="38" t="s">
        <v>26</v>
      </c>
    </row>
    <row r="149" spans="2:43" ht="28.8" x14ac:dyDescent="0.3">
      <c r="B149" s="10" t="s">
        <v>432</v>
      </c>
      <c r="C149" s="61"/>
      <c r="D149" s="8" t="s">
        <v>237</v>
      </c>
      <c r="E149" s="8" t="s">
        <v>317</v>
      </c>
      <c r="F149" s="8" t="s">
        <v>242</v>
      </c>
      <c r="G149" s="8" t="s">
        <v>162</v>
      </c>
      <c r="H149" s="38" t="s">
        <v>26</v>
      </c>
      <c r="J149" s="4">
        <v>4</v>
      </c>
      <c r="K149" s="4" t="s">
        <v>169</v>
      </c>
      <c r="L149" s="5">
        <v>5.4999999999999997E-3</v>
      </c>
      <c r="N149" s="22">
        <v>3.9969999999999999</v>
      </c>
      <c r="Q149" s="27">
        <f t="shared" si="111"/>
        <v>-7.5000000000002842E-4</v>
      </c>
      <c r="R149" s="27"/>
      <c r="S149" s="38" t="s">
        <v>26</v>
      </c>
      <c r="V149" s="22">
        <v>3.9980000000000002</v>
      </c>
      <c r="Y149" s="27">
        <f t="shared" si="107"/>
        <v>-4.9999999999994493E-4</v>
      </c>
      <c r="Z149" s="27"/>
      <c r="AA149" s="38" t="s">
        <v>26</v>
      </c>
      <c r="AD149" s="22">
        <v>3.9990000000000001</v>
      </c>
      <c r="AG149" s="27">
        <f t="shared" si="108"/>
        <v>-2.4999999999997247E-4</v>
      </c>
      <c r="AH149" s="27"/>
      <c r="AI149" s="38" t="s">
        <v>26</v>
      </c>
      <c r="AL149" s="22">
        <v>3.9990000000000001</v>
      </c>
      <c r="AO149" s="27">
        <f t="shared" si="109"/>
        <v>-2.4999999999997247E-4</v>
      </c>
      <c r="AP149" s="27"/>
      <c r="AQ149" s="38" t="s">
        <v>26</v>
      </c>
    </row>
    <row r="150" spans="2:43" ht="28.8" x14ac:dyDescent="0.3">
      <c r="B150" s="10" t="s">
        <v>433</v>
      </c>
      <c r="C150" s="61"/>
      <c r="D150" s="8" t="s">
        <v>237</v>
      </c>
      <c r="E150" s="8" t="s">
        <v>317</v>
      </c>
      <c r="F150" s="8" t="s">
        <v>242</v>
      </c>
      <c r="G150" s="8" t="s">
        <v>163</v>
      </c>
      <c r="H150" s="38" t="s">
        <v>26</v>
      </c>
      <c r="J150" s="4">
        <v>4</v>
      </c>
      <c r="K150" s="4" t="s">
        <v>169</v>
      </c>
      <c r="L150" s="5">
        <v>5.4999999999999997E-3</v>
      </c>
      <c r="N150" s="22">
        <v>3.9969999999999999</v>
      </c>
      <c r="Q150" s="27">
        <f t="shared" si="111"/>
        <v>-7.5000000000002842E-4</v>
      </c>
      <c r="R150" s="27"/>
      <c r="S150" s="38" t="s">
        <v>26</v>
      </c>
      <c r="V150" s="22">
        <v>3.9969999999999999</v>
      </c>
      <c r="Y150" s="27">
        <f t="shared" si="107"/>
        <v>-7.5000000000002842E-4</v>
      </c>
      <c r="Z150" s="27"/>
      <c r="AA150" s="38" t="s">
        <v>26</v>
      </c>
      <c r="AD150" s="22">
        <v>3.9990000000000001</v>
      </c>
      <c r="AG150" s="27">
        <f t="shared" si="108"/>
        <v>-2.4999999999997247E-4</v>
      </c>
      <c r="AH150" s="27"/>
      <c r="AI150" s="38" t="s">
        <v>26</v>
      </c>
      <c r="AL150" s="22">
        <v>3.9990000000000001</v>
      </c>
      <c r="AO150" s="27">
        <f t="shared" si="109"/>
        <v>-2.4999999999997247E-4</v>
      </c>
      <c r="AP150" s="27"/>
      <c r="AQ150" s="38" t="s">
        <v>26</v>
      </c>
    </row>
    <row r="151" spans="2:43" ht="28.8" x14ac:dyDescent="0.3">
      <c r="B151" s="10" t="s">
        <v>434</v>
      </c>
      <c r="C151" s="61"/>
      <c r="D151" s="8" t="s">
        <v>237</v>
      </c>
      <c r="E151" s="8" t="s">
        <v>317</v>
      </c>
      <c r="F151" s="8" t="s">
        <v>242</v>
      </c>
      <c r="G151" s="8" t="s">
        <v>164</v>
      </c>
      <c r="H151" s="38" t="s">
        <v>26</v>
      </c>
      <c r="J151" s="4">
        <v>4</v>
      </c>
      <c r="K151" s="4" t="s">
        <v>169</v>
      </c>
      <c r="L151" s="5">
        <v>5.4999999999999997E-3</v>
      </c>
      <c r="N151" s="22">
        <v>3.9969999999999999</v>
      </c>
      <c r="Q151" s="27">
        <f t="shared" si="111"/>
        <v>-7.5000000000002842E-4</v>
      </c>
      <c r="R151" s="27"/>
      <c r="S151" s="38" t="s">
        <v>26</v>
      </c>
      <c r="V151" s="22">
        <v>3.9980000000000002</v>
      </c>
      <c r="Y151" s="27">
        <f t="shared" si="107"/>
        <v>-4.9999999999994493E-4</v>
      </c>
      <c r="Z151" s="27"/>
      <c r="AA151" s="38" t="s">
        <v>26</v>
      </c>
      <c r="AD151" s="22">
        <v>3.9990000000000001</v>
      </c>
      <c r="AG151" s="27">
        <f t="shared" si="108"/>
        <v>-2.4999999999997247E-4</v>
      </c>
      <c r="AH151" s="27"/>
      <c r="AI151" s="38" t="s">
        <v>26</v>
      </c>
      <c r="AL151" s="22">
        <v>3.9990000000000001</v>
      </c>
      <c r="AO151" s="27">
        <f t="shared" si="109"/>
        <v>-2.4999999999997247E-4</v>
      </c>
      <c r="AP151" s="27"/>
      <c r="AQ151" s="38" t="s">
        <v>26</v>
      </c>
    </row>
    <row r="152" spans="2:43" ht="28.8" x14ac:dyDescent="0.3">
      <c r="B152" s="10" t="s">
        <v>435</v>
      </c>
      <c r="C152" s="61"/>
      <c r="D152" s="8" t="s">
        <v>237</v>
      </c>
      <c r="E152" s="8" t="s">
        <v>317</v>
      </c>
      <c r="F152" s="8" t="s">
        <v>242</v>
      </c>
      <c r="G152" s="8" t="s">
        <v>165</v>
      </c>
      <c r="H152" s="38" t="s">
        <v>26</v>
      </c>
      <c r="J152" s="4">
        <v>4</v>
      </c>
      <c r="K152" s="4" t="s">
        <v>169</v>
      </c>
      <c r="L152" s="5">
        <v>5.4999999999999997E-3</v>
      </c>
      <c r="N152" s="22">
        <v>3.9980000000000002</v>
      </c>
      <c r="Q152" s="27">
        <f t="shared" si="111"/>
        <v>-4.9999999999994493E-4</v>
      </c>
      <c r="R152" s="27"/>
      <c r="S152" s="38" t="s">
        <v>26</v>
      </c>
      <c r="V152" s="22">
        <v>3.9980000000000002</v>
      </c>
      <c r="Y152" s="27">
        <f t="shared" si="107"/>
        <v>-4.9999999999994493E-4</v>
      </c>
      <c r="Z152" s="27"/>
      <c r="AA152" s="38" t="s">
        <v>26</v>
      </c>
      <c r="AD152" s="22">
        <v>3.9990000000000001</v>
      </c>
      <c r="AG152" s="27">
        <f t="shared" si="108"/>
        <v>-2.4999999999997247E-4</v>
      </c>
      <c r="AH152" s="27"/>
      <c r="AI152" s="38" t="s">
        <v>26</v>
      </c>
      <c r="AL152" s="22">
        <v>3.9990000000000001</v>
      </c>
      <c r="AO152" s="27">
        <f t="shared" si="109"/>
        <v>-2.4999999999997247E-4</v>
      </c>
      <c r="AP152" s="27"/>
      <c r="AQ152" s="38" t="s">
        <v>26</v>
      </c>
    </row>
    <row r="153" spans="2:43" ht="28.8" x14ac:dyDescent="0.3">
      <c r="B153" s="10" t="s">
        <v>436</v>
      </c>
      <c r="C153" s="61"/>
      <c r="D153" s="8" t="s">
        <v>237</v>
      </c>
      <c r="E153" s="8" t="s">
        <v>316</v>
      </c>
      <c r="F153" s="8" t="s">
        <v>339</v>
      </c>
      <c r="G153" s="8" t="s">
        <v>572</v>
      </c>
      <c r="H153" s="38" t="s">
        <v>26</v>
      </c>
      <c r="K153" s="4"/>
      <c r="Q153" s="27"/>
      <c r="R153" s="27"/>
      <c r="S153" s="38" t="s">
        <v>26</v>
      </c>
      <c r="Y153" s="27"/>
      <c r="Z153" s="27"/>
      <c r="AA153" s="38" t="s">
        <v>26</v>
      </c>
      <c r="AG153" s="27"/>
      <c r="AH153" s="27"/>
      <c r="AI153" s="38" t="s">
        <v>26</v>
      </c>
      <c r="AO153" s="27"/>
      <c r="AP153" s="27"/>
      <c r="AQ153" s="38" t="s">
        <v>26</v>
      </c>
    </row>
    <row r="154" spans="2:43" ht="32.25" customHeight="1" x14ac:dyDescent="0.3">
      <c r="B154" s="10" t="s">
        <v>437</v>
      </c>
      <c r="C154" s="61"/>
      <c r="D154" s="8" t="s">
        <v>293</v>
      </c>
      <c r="E154" s="8" t="s">
        <v>293</v>
      </c>
      <c r="F154" s="8" t="s">
        <v>244</v>
      </c>
      <c r="G154" s="8" t="s">
        <v>243</v>
      </c>
      <c r="H154" s="38" t="s">
        <v>26</v>
      </c>
      <c r="K154" s="4"/>
      <c r="Q154" s="23"/>
      <c r="R154" s="23"/>
      <c r="S154" s="38" t="s">
        <v>26</v>
      </c>
      <c r="Y154" s="23"/>
      <c r="Z154" s="23"/>
      <c r="AA154" s="38" t="s">
        <v>26</v>
      </c>
      <c r="AG154" s="23"/>
      <c r="AH154" s="23"/>
      <c r="AI154" s="38" t="s">
        <v>26</v>
      </c>
      <c r="AO154" s="23"/>
      <c r="AP154" s="23"/>
      <c r="AQ154" s="38" t="s">
        <v>26</v>
      </c>
    </row>
    <row r="155" spans="2:43" ht="31.35" customHeight="1" x14ac:dyDescent="0.3">
      <c r="B155" s="10" t="s">
        <v>438</v>
      </c>
      <c r="C155" s="61"/>
      <c r="D155" s="8" t="s">
        <v>293</v>
      </c>
      <c r="E155" s="8" t="s">
        <v>293</v>
      </c>
      <c r="F155" s="8" t="s">
        <v>244</v>
      </c>
      <c r="G155" s="8" t="s">
        <v>245</v>
      </c>
      <c r="H155" s="38" t="s">
        <v>26</v>
      </c>
      <c r="K155" s="4"/>
      <c r="Q155" s="23"/>
      <c r="R155" s="23"/>
      <c r="S155" s="38" t="s">
        <v>26</v>
      </c>
      <c r="Y155" s="23"/>
      <c r="Z155" s="23"/>
      <c r="AA155" s="38" t="s">
        <v>26</v>
      </c>
      <c r="AG155" s="23"/>
      <c r="AH155" s="23"/>
      <c r="AI155" s="38" t="s">
        <v>26</v>
      </c>
      <c r="AO155" s="23"/>
      <c r="AP155" s="23"/>
      <c r="AQ155" s="38" t="s">
        <v>26</v>
      </c>
    </row>
    <row r="156" spans="2:43" ht="32.549999999999997" customHeight="1" x14ac:dyDescent="0.3">
      <c r="B156" s="10" t="s">
        <v>439</v>
      </c>
      <c r="C156" s="61"/>
      <c r="D156" s="8" t="s">
        <v>293</v>
      </c>
      <c r="E156" s="8" t="s">
        <v>293</v>
      </c>
      <c r="F156" s="8" t="s">
        <v>244</v>
      </c>
      <c r="G156" s="8" t="s">
        <v>246</v>
      </c>
      <c r="H156" s="38" t="s">
        <v>26</v>
      </c>
      <c r="K156" s="4"/>
      <c r="Q156" s="23"/>
      <c r="R156" s="23"/>
      <c r="S156" s="38" t="s">
        <v>26</v>
      </c>
      <c r="Y156" s="23"/>
      <c r="Z156" s="23"/>
      <c r="AA156" s="38" t="s">
        <v>26</v>
      </c>
      <c r="AG156" s="23"/>
      <c r="AH156" s="23"/>
      <c r="AI156" s="38" t="s">
        <v>26</v>
      </c>
      <c r="AO156" s="23"/>
      <c r="AP156" s="23"/>
      <c r="AQ156" s="38" t="s">
        <v>26</v>
      </c>
    </row>
    <row r="157" spans="2:43" ht="28.8" customHeight="1" x14ac:dyDescent="0.3">
      <c r="B157" s="10" t="s">
        <v>440</v>
      </c>
      <c r="C157" s="61"/>
      <c r="D157" s="8" t="s">
        <v>293</v>
      </c>
      <c r="E157" s="8" t="s">
        <v>293</v>
      </c>
      <c r="F157" s="8" t="s">
        <v>244</v>
      </c>
      <c r="G157" s="8" t="s">
        <v>247</v>
      </c>
      <c r="H157" s="38" t="s">
        <v>26</v>
      </c>
      <c r="K157" s="4"/>
      <c r="Q157" s="23"/>
      <c r="R157" s="23"/>
      <c r="S157" s="38" t="s">
        <v>26</v>
      </c>
      <c r="Y157" s="23"/>
      <c r="Z157" s="23"/>
      <c r="AA157" s="38" t="s">
        <v>26</v>
      </c>
      <c r="AG157" s="23"/>
      <c r="AH157" s="23"/>
      <c r="AI157" s="38" t="s">
        <v>26</v>
      </c>
      <c r="AO157" s="23"/>
      <c r="AP157" s="23"/>
      <c r="AQ157" s="38" t="s">
        <v>26</v>
      </c>
    </row>
    <row r="158" spans="2:43" ht="32.25" customHeight="1" x14ac:dyDescent="0.3">
      <c r="B158" s="10" t="s">
        <v>441</v>
      </c>
      <c r="C158" s="61"/>
      <c r="D158" s="8" t="s">
        <v>293</v>
      </c>
      <c r="E158" s="8" t="s">
        <v>293</v>
      </c>
      <c r="F158" s="8" t="s">
        <v>248</v>
      </c>
      <c r="G158" s="8" t="s">
        <v>243</v>
      </c>
      <c r="H158" s="38" t="s">
        <v>26</v>
      </c>
      <c r="K158" s="4"/>
      <c r="Q158" s="23"/>
      <c r="R158" s="23"/>
      <c r="S158" s="38" t="s">
        <v>26</v>
      </c>
      <c r="Y158" s="23"/>
      <c r="Z158" s="23"/>
      <c r="AA158" s="38" t="s">
        <v>26</v>
      </c>
      <c r="AG158" s="23"/>
      <c r="AH158" s="23"/>
      <c r="AI158" s="38" t="s">
        <v>26</v>
      </c>
      <c r="AO158" s="23"/>
      <c r="AP158" s="23"/>
      <c r="AQ158" s="38" t="s">
        <v>26</v>
      </c>
    </row>
    <row r="159" spans="2:43" ht="31.35" customHeight="1" x14ac:dyDescent="0.3">
      <c r="B159" s="10" t="s">
        <v>442</v>
      </c>
      <c r="C159" s="61"/>
      <c r="D159" s="8" t="s">
        <v>293</v>
      </c>
      <c r="E159" s="8" t="s">
        <v>293</v>
      </c>
      <c r="F159" s="8" t="s">
        <v>248</v>
      </c>
      <c r="G159" s="8" t="s">
        <v>245</v>
      </c>
      <c r="H159" s="38" t="s">
        <v>26</v>
      </c>
      <c r="K159" s="4"/>
      <c r="Q159" s="23"/>
      <c r="R159" s="23"/>
      <c r="S159" s="38" t="s">
        <v>26</v>
      </c>
      <c r="Y159" s="23"/>
      <c r="Z159" s="23"/>
      <c r="AA159" s="38" t="s">
        <v>26</v>
      </c>
      <c r="AG159" s="23"/>
      <c r="AH159" s="23"/>
      <c r="AI159" s="38" t="s">
        <v>26</v>
      </c>
      <c r="AO159" s="23"/>
      <c r="AP159" s="23"/>
      <c r="AQ159" s="38" t="s">
        <v>26</v>
      </c>
    </row>
    <row r="160" spans="2:43" ht="32.549999999999997" customHeight="1" x14ac:dyDescent="0.3">
      <c r="B160" s="10" t="s">
        <v>443</v>
      </c>
      <c r="C160" s="61"/>
      <c r="D160" s="8" t="s">
        <v>293</v>
      </c>
      <c r="E160" s="8" t="s">
        <v>293</v>
      </c>
      <c r="F160" s="8" t="s">
        <v>248</v>
      </c>
      <c r="G160" s="8" t="s">
        <v>246</v>
      </c>
      <c r="H160" s="38" t="s">
        <v>26</v>
      </c>
      <c r="K160" s="4"/>
      <c r="Q160" s="23"/>
      <c r="R160" s="23"/>
      <c r="S160" s="38" t="s">
        <v>26</v>
      </c>
      <c r="Y160" s="23"/>
      <c r="Z160" s="23"/>
      <c r="AA160" s="38" t="s">
        <v>26</v>
      </c>
      <c r="AG160" s="23"/>
      <c r="AH160" s="23"/>
      <c r="AI160" s="38" t="s">
        <v>26</v>
      </c>
      <c r="AO160" s="23"/>
      <c r="AP160" s="23"/>
      <c r="AQ160" s="38" t="s">
        <v>26</v>
      </c>
    </row>
    <row r="161" spans="2:46" ht="28.8" customHeight="1" x14ac:dyDescent="0.3">
      <c r="B161" s="10" t="s">
        <v>444</v>
      </c>
      <c r="C161" s="61"/>
      <c r="D161" s="8" t="s">
        <v>293</v>
      </c>
      <c r="E161" s="8" t="s">
        <v>293</v>
      </c>
      <c r="F161" s="8" t="s">
        <v>248</v>
      </c>
      <c r="G161" s="8" t="s">
        <v>247</v>
      </c>
      <c r="H161" s="38" t="s">
        <v>26</v>
      </c>
      <c r="K161" s="4"/>
      <c r="Q161" s="23"/>
      <c r="R161" s="23"/>
      <c r="S161" s="38" t="s">
        <v>26</v>
      </c>
      <c r="Y161" s="23"/>
      <c r="Z161" s="23"/>
      <c r="AA161" s="38" t="s">
        <v>26</v>
      </c>
      <c r="AG161" s="23"/>
      <c r="AH161" s="23"/>
      <c r="AI161" s="38" t="s">
        <v>26</v>
      </c>
      <c r="AO161" s="23"/>
      <c r="AP161" s="23"/>
      <c r="AQ161" s="38" t="s">
        <v>26</v>
      </c>
    </row>
    <row r="162" spans="2:46" ht="28.8" customHeight="1" x14ac:dyDescent="0.3">
      <c r="B162" s="10" t="s">
        <v>445</v>
      </c>
      <c r="C162" s="61"/>
      <c r="D162" s="8" t="s">
        <v>320</v>
      </c>
      <c r="E162" s="8" t="s">
        <v>320</v>
      </c>
      <c r="F162" s="8" t="s">
        <v>321</v>
      </c>
      <c r="G162" s="8" t="s">
        <v>322</v>
      </c>
      <c r="H162" s="38" t="s">
        <v>26</v>
      </c>
      <c r="K162" s="4"/>
      <c r="Q162" s="23"/>
      <c r="R162" s="23"/>
      <c r="S162" s="38" t="s">
        <v>26</v>
      </c>
      <c r="Y162" s="23"/>
      <c r="Z162" s="23"/>
      <c r="AA162" s="38" t="s">
        <v>26</v>
      </c>
      <c r="AG162" s="23"/>
      <c r="AH162" s="23"/>
      <c r="AI162" s="38" t="s">
        <v>26</v>
      </c>
      <c r="AO162" s="23"/>
      <c r="AP162" s="23"/>
      <c r="AQ162" s="38" t="s">
        <v>26</v>
      </c>
    </row>
    <row r="163" spans="2:46" customFormat="1" ht="28.8" x14ac:dyDescent="0.3">
      <c r="B163" s="10" t="s">
        <v>446</v>
      </c>
      <c r="C163" s="61"/>
      <c r="D163" s="8" t="s">
        <v>320</v>
      </c>
      <c r="E163" s="8" t="s">
        <v>320</v>
      </c>
      <c r="F163" s="8" t="s">
        <v>548</v>
      </c>
      <c r="G163" s="8" t="s">
        <v>323</v>
      </c>
      <c r="H163" s="38" t="s">
        <v>26</v>
      </c>
      <c r="I163" s="2"/>
      <c r="J163" s="4">
        <v>0.05</v>
      </c>
      <c r="K163" s="4" t="s">
        <v>169</v>
      </c>
      <c r="L163" s="5">
        <v>4.9000000000000002E-2</v>
      </c>
      <c r="M163" s="2"/>
      <c r="N163" s="22">
        <v>5.0999999999999997E-2</v>
      </c>
      <c r="O163" s="22">
        <v>5.0999999999999997E-2</v>
      </c>
      <c r="P163" s="22">
        <v>5.0999999999999997E-2</v>
      </c>
      <c r="Q163" s="27">
        <f t="shared" ref="Q163:Q226" si="112">(O163-N163)/N163</f>
        <v>0</v>
      </c>
      <c r="R163" s="27">
        <f t="shared" ref="R163:R226" si="113">(P163-N163)/N163</f>
        <v>0</v>
      </c>
      <c r="S163" s="38" t="s">
        <v>26</v>
      </c>
      <c r="T163" s="23"/>
      <c r="U163" s="11"/>
      <c r="V163" s="22">
        <v>5.0999999999999997E-2</v>
      </c>
      <c r="W163" s="22">
        <v>5.0999999999999997E-2</v>
      </c>
      <c r="X163" s="22">
        <v>5.0999999999999997E-2</v>
      </c>
      <c r="Y163" s="27">
        <f t="shared" ref="Y163:Y226" si="114">(W163-V163)/V163</f>
        <v>0</v>
      </c>
      <c r="Z163" s="27">
        <f t="shared" ref="Z163:Z226" si="115">(X163-V163)/V163</f>
        <v>0</v>
      </c>
      <c r="AA163" s="38" t="s">
        <v>26</v>
      </c>
      <c r="AB163" s="23"/>
      <c r="AC163" s="11"/>
      <c r="AD163" s="22">
        <v>5.0999999999999997E-2</v>
      </c>
      <c r="AE163" s="22">
        <v>5.0999999999999997E-2</v>
      </c>
      <c r="AF163" s="22">
        <v>5.0999999999999997E-2</v>
      </c>
      <c r="AG163" s="27">
        <f t="shared" ref="AG163:AG226" si="116">(AE163-AD163)/AD163</f>
        <v>0</v>
      </c>
      <c r="AH163" s="27">
        <f t="shared" ref="AH163:AH226" si="117">(AF163-AD163)/AD163</f>
        <v>0</v>
      </c>
      <c r="AI163" s="38" t="s">
        <v>26</v>
      </c>
      <c r="AJ163" s="23"/>
      <c r="AK163" s="11"/>
      <c r="AL163" s="22">
        <v>5.0999999999999997E-2</v>
      </c>
      <c r="AM163" s="22">
        <v>0.05</v>
      </c>
      <c r="AN163" s="22">
        <v>5.0999999999999997E-2</v>
      </c>
      <c r="AO163" s="27">
        <f t="shared" ref="AO163:AO226" si="118">(AM163-AL163)/AL163</f>
        <v>-1.9607843137254784E-2</v>
      </c>
      <c r="AP163" s="27">
        <f t="shared" ref="AP163:AP226" si="119">(AN163-AL163)/AL163</f>
        <v>0</v>
      </c>
      <c r="AQ163" s="38" t="s">
        <v>26</v>
      </c>
      <c r="AR163" s="22">
        <f>MIN(AM163:AN170)</f>
        <v>0.05</v>
      </c>
      <c r="AS163" s="11"/>
      <c r="AT163" s="12"/>
    </row>
    <row r="164" spans="2:46" customFormat="1" ht="28.8" x14ac:dyDescent="0.3">
      <c r="B164" s="10" t="s">
        <v>447</v>
      </c>
      <c r="C164" s="61"/>
      <c r="D164" s="8" t="s">
        <v>320</v>
      </c>
      <c r="E164" s="8" t="s">
        <v>320</v>
      </c>
      <c r="F164" s="8" t="s">
        <v>548</v>
      </c>
      <c r="G164" s="8" t="s">
        <v>325</v>
      </c>
      <c r="H164" s="38" t="s">
        <v>26</v>
      </c>
      <c r="I164" s="2"/>
      <c r="J164" s="4">
        <v>0.05</v>
      </c>
      <c r="K164" s="4" t="s">
        <v>169</v>
      </c>
      <c r="L164" s="5">
        <v>4.9000000000000002E-2</v>
      </c>
      <c r="M164" s="2"/>
      <c r="N164" s="22">
        <v>5.0999999999999997E-2</v>
      </c>
      <c r="O164" s="22">
        <v>5.0999999999999997E-2</v>
      </c>
      <c r="P164" s="22">
        <v>5.0999999999999997E-2</v>
      </c>
      <c r="Q164" s="27">
        <f t="shared" si="112"/>
        <v>0</v>
      </c>
      <c r="R164" s="27">
        <f t="shared" si="113"/>
        <v>0</v>
      </c>
      <c r="S164" s="38" t="s">
        <v>26</v>
      </c>
      <c r="T164" s="23"/>
      <c r="U164" s="11"/>
      <c r="V164" s="22">
        <v>5.0999999999999997E-2</v>
      </c>
      <c r="W164" s="22">
        <v>5.0999999999999997E-2</v>
      </c>
      <c r="X164" s="22">
        <v>5.0999999999999997E-2</v>
      </c>
      <c r="Y164" s="27">
        <f t="shared" si="114"/>
        <v>0</v>
      </c>
      <c r="Z164" s="27">
        <f t="shared" si="115"/>
        <v>0</v>
      </c>
      <c r="AA164" s="38" t="s">
        <v>26</v>
      </c>
      <c r="AB164" s="23"/>
      <c r="AC164" s="11"/>
      <c r="AD164" s="22">
        <v>5.0999999999999997E-2</v>
      </c>
      <c r="AE164" s="22">
        <v>5.0999999999999997E-2</v>
      </c>
      <c r="AF164" s="22">
        <v>5.0999999999999997E-2</v>
      </c>
      <c r="AG164" s="27">
        <f t="shared" si="116"/>
        <v>0</v>
      </c>
      <c r="AH164" s="27">
        <f t="shared" si="117"/>
        <v>0</v>
      </c>
      <c r="AI164" s="38" t="s">
        <v>26</v>
      </c>
      <c r="AJ164" s="23"/>
      <c r="AK164" s="11"/>
      <c r="AL164" s="22">
        <v>5.0999999999999997E-2</v>
      </c>
      <c r="AM164" s="22">
        <v>0.05</v>
      </c>
      <c r="AN164" s="22">
        <v>5.0999999999999997E-2</v>
      </c>
      <c r="AO164" s="27">
        <f t="shared" si="118"/>
        <v>-1.9607843137254784E-2</v>
      </c>
      <c r="AP164" s="27">
        <f t="shared" si="119"/>
        <v>0</v>
      </c>
      <c r="AQ164" s="38" t="s">
        <v>26</v>
      </c>
      <c r="AR164" s="22">
        <f>MAX(AM163:AN170)</f>
        <v>5.1999999999999998E-2</v>
      </c>
      <c r="AS164" s="11"/>
      <c r="AT164" s="12"/>
    </row>
    <row r="165" spans="2:46" customFormat="1" ht="28.8" x14ac:dyDescent="0.3">
      <c r="B165" s="10" t="s">
        <v>448</v>
      </c>
      <c r="C165" s="61"/>
      <c r="D165" s="8" t="s">
        <v>320</v>
      </c>
      <c r="E165" s="8" t="s">
        <v>320</v>
      </c>
      <c r="F165" s="8" t="s">
        <v>548</v>
      </c>
      <c r="G165" s="8" t="s">
        <v>327</v>
      </c>
      <c r="H165" s="38" t="s">
        <v>26</v>
      </c>
      <c r="I165" s="2"/>
      <c r="J165" s="4">
        <v>0.05</v>
      </c>
      <c r="K165" s="4" t="s">
        <v>169</v>
      </c>
      <c r="L165" s="5">
        <v>4.9000000000000002E-2</v>
      </c>
      <c r="M165" s="2"/>
      <c r="N165" s="22">
        <v>5.0999999999999997E-2</v>
      </c>
      <c r="O165" s="22">
        <v>5.0999999999999997E-2</v>
      </c>
      <c r="P165" s="22">
        <v>5.0999999999999997E-2</v>
      </c>
      <c r="Q165" s="27">
        <f t="shared" si="112"/>
        <v>0</v>
      </c>
      <c r="R165" s="27">
        <f t="shared" si="113"/>
        <v>0</v>
      </c>
      <c r="S165" s="38" t="s">
        <v>26</v>
      </c>
      <c r="T165" s="23"/>
      <c r="U165" s="11"/>
      <c r="V165" s="22">
        <v>5.0999999999999997E-2</v>
      </c>
      <c r="W165" s="22">
        <v>5.0999999999999997E-2</v>
      </c>
      <c r="X165" s="22">
        <v>5.0999999999999997E-2</v>
      </c>
      <c r="Y165" s="27">
        <f t="shared" si="114"/>
        <v>0</v>
      </c>
      <c r="Z165" s="27">
        <f t="shared" si="115"/>
        <v>0</v>
      </c>
      <c r="AA165" s="38" t="s">
        <v>26</v>
      </c>
      <c r="AB165" s="23"/>
      <c r="AC165" s="11"/>
      <c r="AD165" s="22">
        <v>5.0999999999999997E-2</v>
      </c>
      <c r="AE165" s="22">
        <v>5.0999999999999997E-2</v>
      </c>
      <c r="AF165" s="22">
        <v>5.0999999999999997E-2</v>
      </c>
      <c r="AG165" s="27">
        <f t="shared" si="116"/>
        <v>0</v>
      </c>
      <c r="AH165" s="27">
        <f t="shared" si="117"/>
        <v>0</v>
      </c>
      <c r="AI165" s="38" t="s">
        <v>26</v>
      </c>
      <c r="AJ165" s="23"/>
      <c r="AK165" s="11"/>
      <c r="AL165" s="22">
        <v>5.0999999999999997E-2</v>
      </c>
      <c r="AM165" s="22">
        <v>0.05</v>
      </c>
      <c r="AN165" s="22">
        <v>5.0999999999999997E-2</v>
      </c>
      <c r="AO165" s="27">
        <f t="shared" si="118"/>
        <v>-1.9607843137254784E-2</v>
      </c>
      <c r="AP165" s="27">
        <f t="shared" si="119"/>
        <v>0</v>
      </c>
      <c r="AQ165" s="38" t="s">
        <v>26</v>
      </c>
      <c r="AR165" s="23"/>
      <c r="AS165" s="11"/>
      <c r="AT165" s="12"/>
    </row>
    <row r="166" spans="2:46" customFormat="1" ht="28.8" x14ac:dyDescent="0.3">
      <c r="B166" s="10" t="s">
        <v>449</v>
      </c>
      <c r="C166" s="61"/>
      <c r="D166" s="8" t="s">
        <v>320</v>
      </c>
      <c r="E166" s="8" t="s">
        <v>320</v>
      </c>
      <c r="F166" s="8" t="s">
        <v>548</v>
      </c>
      <c r="G166" s="8" t="s">
        <v>329</v>
      </c>
      <c r="H166" s="38" t="s">
        <v>26</v>
      </c>
      <c r="I166" s="2"/>
      <c r="J166" s="4">
        <v>0.05</v>
      </c>
      <c r="K166" s="4" t="s">
        <v>169</v>
      </c>
      <c r="L166" s="5">
        <v>4.9000000000000002E-2</v>
      </c>
      <c r="M166" s="2"/>
      <c r="N166" s="22">
        <v>5.0999999999999997E-2</v>
      </c>
      <c r="O166" s="22">
        <v>5.0999999999999997E-2</v>
      </c>
      <c r="P166" s="22">
        <v>5.0999999999999997E-2</v>
      </c>
      <c r="Q166" s="27">
        <f t="shared" si="112"/>
        <v>0</v>
      </c>
      <c r="R166" s="27">
        <f t="shared" si="113"/>
        <v>0</v>
      </c>
      <c r="S166" s="38" t="s">
        <v>26</v>
      </c>
      <c r="T166" s="23"/>
      <c r="U166" s="11"/>
      <c r="V166" s="22">
        <v>5.0999999999999997E-2</v>
      </c>
      <c r="W166" s="22">
        <v>5.0999999999999997E-2</v>
      </c>
      <c r="X166" s="22">
        <v>5.0999999999999997E-2</v>
      </c>
      <c r="Y166" s="27">
        <f t="shared" si="114"/>
        <v>0</v>
      </c>
      <c r="Z166" s="27">
        <f t="shared" si="115"/>
        <v>0</v>
      </c>
      <c r="AA166" s="38" t="s">
        <v>26</v>
      </c>
      <c r="AB166" s="23"/>
      <c r="AC166" s="11"/>
      <c r="AD166" s="22">
        <v>5.0999999999999997E-2</v>
      </c>
      <c r="AE166" s="22">
        <v>5.0999999999999997E-2</v>
      </c>
      <c r="AF166" s="22">
        <v>5.0999999999999997E-2</v>
      </c>
      <c r="AG166" s="27">
        <f t="shared" si="116"/>
        <v>0</v>
      </c>
      <c r="AH166" s="27">
        <f t="shared" si="117"/>
        <v>0</v>
      </c>
      <c r="AI166" s="38" t="s">
        <v>26</v>
      </c>
      <c r="AJ166" s="23"/>
      <c r="AK166" s="11"/>
      <c r="AL166" s="22">
        <v>5.0999999999999997E-2</v>
      </c>
      <c r="AM166" s="22">
        <v>0.05</v>
      </c>
      <c r="AN166" s="22">
        <v>5.0999999999999997E-2</v>
      </c>
      <c r="AO166" s="27">
        <f t="shared" si="118"/>
        <v>-1.9607843137254784E-2</v>
      </c>
      <c r="AP166" s="27">
        <f t="shared" si="119"/>
        <v>0</v>
      </c>
      <c r="AQ166" s="38" t="s">
        <v>26</v>
      </c>
      <c r="AR166" s="23"/>
      <c r="AS166" s="11"/>
      <c r="AT166" s="12"/>
    </row>
    <row r="167" spans="2:46" customFormat="1" ht="28.8" x14ac:dyDescent="0.3">
      <c r="B167" s="10" t="s">
        <v>450</v>
      </c>
      <c r="C167" s="61"/>
      <c r="D167" s="8" t="s">
        <v>320</v>
      </c>
      <c r="E167" s="8" t="s">
        <v>320</v>
      </c>
      <c r="F167" s="8" t="s">
        <v>548</v>
      </c>
      <c r="G167" s="8" t="s">
        <v>331</v>
      </c>
      <c r="H167" s="38" t="s">
        <v>26</v>
      </c>
      <c r="I167" s="2"/>
      <c r="J167" s="4">
        <v>0.05</v>
      </c>
      <c r="K167" s="4" t="s">
        <v>169</v>
      </c>
      <c r="L167" s="5">
        <v>4.9000000000000002E-2</v>
      </c>
      <c r="M167" s="2"/>
      <c r="N167" s="22">
        <v>5.0999999999999997E-2</v>
      </c>
      <c r="O167" s="22">
        <v>5.0999999999999997E-2</v>
      </c>
      <c r="P167" s="22">
        <v>5.0999999999999997E-2</v>
      </c>
      <c r="Q167" s="27">
        <f t="shared" si="112"/>
        <v>0</v>
      </c>
      <c r="R167" s="27">
        <f t="shared" si="113"/>
        <v>0</v>
      </c>
      <c r="S167" s="38" t="s">
        <v>26</v>
      </c>
      <c r="T167" s="23"/>
      <c r="U167" s="11"/>
      <c r="V167" s="22">
        <v>5.0999999999999997E-2</v>
      </c>
      <c r="W167" s="22">
        <v>5.0999999999999997E-2</v>
      </c>
      <c r="X167" s="22">
        <v>5.0999999999999997E-2</v>
      </c>
      <c r="Y167" s="27">
        <f t="shared" si="114"/>
        <v>0</v>
      </c>
      <c r="Z167" s="27">
        <f t="shared" si="115"/>
        <v>0</v>
      </c>
      <c r="AA167" s="38" t="s">
        <v>26</v>
      </c>
      <c r="AB167" s="23"/>
      <c r="AC167" s="11"/>
      <c r="AD167" s="22">
        <v>5.0999999999999997E-2</v>
      </c>
      <c r="AE167" s="22">
        <v>5.0999999999999997E-2</v>
      </c>
      <c r="AF167" s="22">
        <v>5.0999999999999997E-2</v>
      </c>
      <c r="AG167" s="27">
        <f t="shared" si="116"/>
        <v>0</v>
      </c>
      <c r="AH167" s="27">
        <f t="shared" si="117"/>
        <v>0</v>
      </c>
      <c r="AI167" s="38" t="s">
        <v>26</v>
      </c>
      <c r="AJ167" s="23"/>
      <c r="AK167" s="11"/>
      <c r="AL167" s="22">
        <v>5.0999999999999997E-2</v>
      </c>
      <c r="AM167" s="22">
        <v>0.05</v>
      </c>
      <c r="AN167" s="22">
        <v>5.0999999999999997E-2</v>
      </c>
      <c r="AO167" s="27">
        <f t="shared" si="118"/>
        <v>-1.9607843137254784E-2</v>
      </c>
      <c r="AP167" s="27">
        <f t="shared" si="119"/>
        <v>0</v>
      </c>
      <c r="AQ167" s="38" t="s">
        <v>26</v>
      </c>
      <c r="AR167" s="23"/>
      <c r="AS167" s="11"/>
      <c r="AT167" s="12"/>
    </row>
    <row r="168" spans="2:46" customFormat="1" ht="28.8" x14ac:dyDescent="0.3">
      <c r="B168" s="10" t="s">
        <v>451</v>
      </c>
      <c r="C168" s="61"/>
      <c r="D168" s="8" t="s">
        <v>320</v>
      </c>
      <c r="E168" s="8" t="s">
        <v>320</v>
      </c>
      <c r="F168" s="8" t="s">
        <v>548</v>
      </c>
      <c r="G168" s="8" t="s">
        <v>333</v>
      </c>
      <c r="H168" s="38" t="s">
        <v>26</v>
      </c>
      <c r="I168" s="2"/>
      <c r="J168" s="4">
        <v>0.05</v>
      </c>
      <c r="K168" s="4" t="s">
        <v>169</v>
      </c>
      <c r="L168" s="5">
        <v>4.9000000000000002E-2</v>
      </c>
      <c r="M168" s="2"/>
      <c r="N168" s="22">
        <v>5.0999999999999997E-2</v>
      </c>
      <c r="O168" s="22">
        <v>5.0999999999999997E-2</v>
      </c>
      <c r="P168" s="22">
        <v>5.0999999999999997E-2</v>
      </c>
      <c r="Q168" s="27">
        <f t="shared" si="112"/>
        <v>0</v>
      </c>
      <c r="R168" s="27">
        <f t="shared" si="113"/>
        <v>0</v>
      </c>
      <c r="S168" s="38" t="s">
        <v>26</v>
      </c>
      <c r="T168" s="23"/>
      <c r="U168" s="11"/>
      <c r="V168" s="22">
        <v>5.0999999999999997E-2</v>
      </c>
      <c r="W168" s="22">
        <v>5.0999999999999997E-2</v>
      </c>
      <c r="X168" s="22">
        <v>5.0999999999999997E-2</v>
      </c>
      <c r="Y168" s="27">
        <f t="shared" si="114"/>
        <v>0</v>
      </c>
      <c r="Z168" s="27">
        <f t="shared" si="115"/>
        <v>0</v>
      </c>
      <c r="AA168" s="38" t="s">
        <v>26</v>
      </c>
      <c r="AB168" s="23"/>
      <c r="AC168" s="11"/>
      <c r="AD168" s="22">
        <v>5.0999999999999997E-2</v>
      </c>
      <c r="AE168" s="22">
        <v>5.0999999999999997E-2</v>
      </c>
      <c r="AF168" s="22">
        <v>5.0999999999999997E-2</v>
      </c>
      <c r="AG168" s="27">
        <f t="shared" si="116"/>
        <v>0</v>
      </c>
      <c r="AH168" s="27">
        <f t="shared" si="117"/>
        <v>0</v>
      </c>
      <c r="AI168" s="38" t="s">
        <v>26</v>
      </c>
      <c r="AJ168" s="23"/>
      <c r="AK168" s="11"/>
      <c r="AL168" s="22">
        <v>5.0999999999999997E-2</v>
      </c>
      <c r="AM168" s="22">
        <v>0.05</v>
      </c>
      <c r="AN168" s="22">
        <v>5.1999999999999998E-2</v>
      </c>
      <c r="AO168" s="27">
        <f t="shared" si="118"/>
        <v>-1.9607843137254784E-2</v>
      </c>
      <c r="AP168" s="27">
        <f t="shared" si="119"/>
        <v>1.9607843137254919E-2</v>
      </c>
      <c r="AQ168" s="38" t="s">
        <v>26</v>
      </c>
      <c r="AR168" s="23"/>
      <c r="AS168" s="11"/>
      <c r="AT168" s="12"/>
    </row>
    <row r="169" spans="2:46" customFormat="1" ht="28.8" x14ac:dyDescent="0.3">
      <c r="B169" s="10" t="s">
        <v>452</v>
      </c>
      <c r="C169" s="61"/>
      <c r="D169" s="8" t="s">
        <v>320</v>
      </c>
      <c r="E169" s="8" t="s">
        <v>320</v>
      </c>
      <c r="F169" s="8" t="s">
        <v>548</v>
      </c>
      <c r="G169" s="8" t="s">
        <v>335</v>
      </c>
      <c r="H169" s="38" t="s">
        <v>26</v>
      </c>
      <c r="I169" s="2"/>
      <c r="J169" s="4">
        <v>0.05</v>
      </c>
      <c r="K169" s="4" t="s">
        <v>169</v>
      </c>
      <c r="L169" s="5">
        <v>4.9000000000000002E-2</v>
      </c>
      <c r="M169" s="2"/>
      <c r="N169" s="22">
        <v>5.0999999999999997E-2</v>
      </c>
      <c r="O169" s="22">
        <v>5.0999999999999997E-2</v>
      </c>
      <c r="P169" s="22">
        <v>5.0999999999999997E-2</v>
      </c>
      <c r="Q169" s="27">
        <f t="shared" si="112"/>
        <v>0</v>
      </c>
      <c r="R169" s="27">
        <f t="shared" si="113"/>
        <v>0</v>
      </c>
      <c r="S169" s="38" t="s">
        <v>26</v>
      </c>
      <c r="T169" s="23"/>
      <c r="U169" s="11"/>
      <c r="V169" s="22">
        <v>5.0999999999999997E-2</v>
      </c>
      <c r="W169" s="22">
        <v>5.0999999999999997E-2</v>
      </c>
      <c r="X169" s="22">
        <v>5.0999999999999997E-2</v>
      </c>
      <c r="Y169" s="27">
        <f t="shared" si="114"/>
        <v>0</v>
      </c>
      <c r="Z169" s="27">
        <f t="shared" si="115"/>
        <v>0</v>
      </c>
      <c r="AA169" s="38" t="s">
        <v>26</v>
      </c>
      <c r="AB169" s="23"/>
      <c r="AC169" s="11"/>
      <c r="AD169" s="22">
        <v>5.0999999999999997E-2</v>
      </c>
      <c r="AE169" s="22">
        <v>5.0999999999999997E-2</v>
      </c>
      <c r="AF169" s="22">
        <v>5.0999999999999997E-2</v>
      </c>
      <c r="AG169" s="27">
        <f t="shared" si="116"/>
        <v>0</v>
      </c>
      <c r="AH169" s="27">
        <f t="shared" si="117"/>
        <v>0</v>
      </c>
      <c r="AI169" s="38" t="s">
        <v>26</v>
      </c>
      <c r="AJ169" s="23"/>
      <c r="AK169" s="11"/>
      <c r="AL169" s="22">
        <v>5.0999999999999997E-2</v>
      </c>
      <c r="AM169" s="22">
        <v>0.05</v>
      </c>
      <c r="AN169" s="22">
        <v>5.0999999999999997E-2</v>
      </c>
      <c r="AO169" s="27">
        <f t="shared" si="118"/>
        <v>-1.9607843137254784E-2</v>
      </c>
      <c r="AP169" s="27">
        <f t="shared" si="119"/>
        <v>0</v>
      </c>
      <c r="AQ169" s="38" t="s">
        <v>26</v>
      </c>
      <c r="AR169" s="23"/>
      <c r="AS169" s="11"/>
      <c r="AT169" s="12"/>
    </row>
    <row r="170" spans="2:46" customFormat="1" ht="28.8" x14ac:dyDescent="0.3">
      <c r="B170" s="10" t="s">
        <v>453</v>
      </c>
      <c r="C170" s="61"/>
      <c r="D170" s="8" t="s">
        <v>320</v>
      </c>
      <c r="E170" s="8" t="s">
        <v>320</v>
      </c>
      <c r="F170" s="8" t="s">
        <v>548</v>
      </c>
      <c r="G170" s="8" t="s">
        <v>337</v>
      </c>
      <c r="H170" s="38" t="s">
        <v>26</v>
      </c>
      <c r="I170" s="2"/>
      <c r="J170" s="4">
        <v>0.05</v>
      </c>
      <c r="K170" s="4" t="s">
        <v>169</v>
      </c>
      <c r="L170" s="5">
        <v>4.9000000000000002E-2</v>
      </c>
      <c r="M170" s="2"/>
      <c r="N170" s="22">
        <v>5.0999999999999997E-2</v>
      </c>
      <c r="O170" s="22">
        <v>5.0999999999999997E-2</v>
      </c>
      <c r="P170" s="22">
        <v>5.0999999999999997E-2</v>
      </c>
      <c r="Q170" s="27">
        <f t="shared" si="112"/>
        <v>0</v>
      </c>
      <c r="R170" s="27">
        <f t="shared" si="113"/>
        <v>0</v>
      </c>
      <c r="S170" s="38" t="s">
        <v>26</v>
      </c>
      <c r="T170" s="23"/>
      <c r="U170" s="11"/>
      <c r="V170" s="22">
        <v>5.0999999999999997E-2</v>
      </c>
      <c r="W170" s="22">
        <v>5.0999999999999997E-2</v>
      </c>
      <c r="X170" s="22">
        <v>5.0999999999999997E-2</v>
      </c>
      <c r="Y170" s="27">
        <f t="shared" si="114"/>
        <v>0</v>
      </c>
      <c r="Z170" s="27">
        <f t="shared" si="115"/>
        <v>0</v>
      </c>
      <c r="AA170" s="38" t="s">
        <v>26</v>
      </c>
      <c r="AB170" s="23"/>
      <c r="AC170" s="11"/>
      <c r="AD170" s="22">
        <v>5.0999999999999997E-2</v>
      </c>
      <c r="AE170" s="22">
        <v>5.0999999999999997E-2</v>
      </c>
      <c r="AF170" s="22">
        <v>5.0999999999999997E-2</v>
      </c>
      <c r="AG170" s="27">
        <f t="shared" si="116"/>
        <v>0</v>
      </c>
      <c r="AH170" s="27">
        <f t="shared" si="117"/>
        <v>0</v>
      </c>
      <c r="AI170" s="38" t="s">
        <v>26</v>
      </c>
      <c r="AJ170" s="23"/>
      <c r="AK170" s="11"/>
      <c r="AL170" s="22">
        <v>5.0999999999999997E-2</v>
      </c>
      <c r="AM170" s="22">
        <v>0.05</v>
      </c>
      <c r="AN170" s="22">
        <v>5.1999999999999998E-2</v>
      </c>
      <c r="AO170" s="27">
        <f t="shared" si="118"/>
        <v>-1.9607843137254784E-2</v>
      </c>
      <c r="AP170" s="27">
        <f t="shared" si="119"/>
        <v>1.9607843137254919E-2</v>
      </c>
      <c r="AQ170" s="38" t="s">
        <v>26</v>
      </c>
      <c r="AR170" s="23"/>
      <c r="AS170" s="11"/>
      <c r="AT170" s="12"/>
    </row>
    <row r="171" spans="2:46" customFormat="1" ht="28.8" x14ac:dyDescent="0.3">
      <c r="B171" s="10" t="s">
        <v>454</v>
      </c>
      <c r="C171" s="61"/>
      <c r="D171" s="8" t="s">
        <v>320</v>
      </c>
      <c r="E171" s="8" t="s">
        <v>320</v>
      </c>
      <c r="F171" s="8" t="s">
        <v>548</v>
      </c>
      <c r="G171" s="8" t="s">
        <v>324</v>
      </c>
      <c r="H171" s="38" t="s">
        <v>26</v>
      </c>
      <c r="I171" s="2"/>
      <c r="J171" s="4">
        <v>-0.05</v>
      </c>
      <c r="K171" s="4" t="s">
        <v>169</v>
      </c>
      <c r="L171" s="5">
        <v>4.9000000000000002E-2</v>
      </c>
      <c r="M171" s="2"/>
      <c r="N171" s="22">
        <v>-5.0999999999999997E-2</v>
      </c>
      <c r="O171" s="22">
        <v>-5.0999999999999997E-2</v>
      </c>
      <c r="P171" s="22">
        <v>-5.0999999999999997E-2</v>
      </c>
      <c r="Q171" s="27">
        <f t="shared" si="112"/>
        <v>0</v>
      </c>
      <c r="R171" s="27">
        <f t="shared" si="113"/>
        <v>0</v>
      </c>
      <c r="S171" s="38" t="s">
        <v>26</v>
      </c>
      <c r="T171" s="23"/>
      <c r="U171" s="11"/>
      <c r="V171" s="22">
        <v>-5.0999999999999997E-2</v>
      </c>
      <c r="W171" s="22">
        <v>-5.0999999999999997E-2</v>
      </c>
      <c r="X171" s="22">
        <v>-5.0999999999999997E-2</v>
      </c>
      <c r="Y171" s="27">
        <f t="shared" si="114"/>
        <v>0</v>
      </c>
      <c r="Z171" s="27">
        <f t="shared" si="115"/>
        <v>0</v>
      </c>
      <c r="AA171" s="38" t="s">
        <v>26</v>
      </c>
      <c r="AB171" s="23"/>
      <c r="AC171" s="11"/>
      <c r="AD171" s="22">
        <v>-5.0999999999999997E-2</v>
      </c>
      <c r="AE171" s="22">
        <v>-5.0999999999999997E-2</v>
      </c>
      <c r="AF171" s="22">
        <v>-5.0999999999999997E-2</v>
      </c>
      <c r="AG171" s="27">
        <f t="shared" si="116"/>
        <v>0</v>
      </c>
      <c r="AH171" s="27">
        <f t="shared" si="117"/>
        <v>0</v>
      </c>
      <c r="AI171" s="38" t="s">
        <v>26</v>
      </c>
      <c r="AJ171" s="23"/>
      <c r="AK171" s="11"/>
      <c r="AL171" s="22">
        <v>-5.0999999999999997E-2</v>
      </c>
      <c r="AM171" s="22">
        <v>-5.1999999999999998E-2</v>
      </c>
      <c r="AN171" s="22">
        <v>-0.05</v>
      </c>
      <c r="AO171" s="27">
        <f t="shared" si="118"/>
        <v>1.9607843137254919E-2</v>
      </c>
      <c r="AP171" s="27">
        <f t="shared" si="119"/>
        <v>-1.9607843137254784E-2</v>
      </c>
      <c r="AQ171" s="38" t="s">
        <v>26</v>
      </c>
      <c r="AR171" s="23"/>
      <c r="AS171" s="11"/>
      <c r="AT171" s="12"/>
    </row>
    <row r="172" spans="2:46" customFormat="1" ht="28.8" x14ac:dyDescent="0.3">
      <c r="B172" s="10" t="s">
        <v>455</v>
      </c>
      <c r="C172" s="61"/>
      <c r="D172" s="8" t="s">
        <v>320</v>
      </c>
      <c r="E172" s="8" t="s">
        <v>320</v>
      </c>
      <c r="F172" s="8" t="s">
        <v>548</v>
      </c>
      <c r="G172" s="8" t="s">
        <v>326</v>
      </c>
      <c r="H172" s="38" t="s">
        <v>26</v>
      </c>
      <c r="I172" s="2"/>
      <c r="J172" s="4">
        <v>-0.05</v>
      </c>
      <c r="K172" s="4" t="s">
        <v>169</v>
      </c>
      <c r="L172" s="5">
        <v>4.9000000000000002E-2</v>
      </c>
      <c r="M172" s="2"/>
      <c r="N172" s="22">
        <v>-5.0999999999999997E-2</v>
      </c>
      <c r="O172" s="22">
        <v>-5.0999999999999997E-2</v>
      </c>
      <c r="P172" s="22">
        <v>-5.0999999999999997E-2</v>
      </c>
      <c r="Q172" s="27">
        <f t="shared" si="112"/>
        <v>0</v>
      </c>
      <c r="R172" s="27">
        <f t="shared" si="113"/>
        <v>0</v>
      </c>
      <c r="S172" s="38" t="s">
        <v>26</v>
      </c>
      <c r="T172" s="23"/>
      <c r="U172" s="11"/>
      <c r="V172" s="22">
        <v>-5.0999999999999997E-2</v>
      </c>
      <c r="W172" s="22">
        <v>-5.0999999999999997E-2</v>
      </c>
      <c r="X172" s="22">
        <v>-5.0999999999999997E-2</v>
      </c>
      <c r="Y172" s="27">
        <f t="shared" si="114"/>
        <v>0</v>
      </c>
      <c r="Z172" s="27">
        <f t="shared" si="115"/>
        <v>0</v>
      </c>
      <c r="AA172" s="38" t="s">
        <v>26</v>
      </c>
      <c r="AB172" s="23"/>
      <c r="AC172" s="11"/>
      <c r="AD172" s="22">
        <v>-5.0999999999999997E-2</v>
      </c>
      <c r="AE172" s="22">
        <v>-5.0999999999999997E-2</v>
      </c>
      <c r="AF172" s="22">
        <v>-5.0999999999999997E-2</v>
      </c>
      <c r="AG172" s="27">
        <f t="shared" si="116"/>
        <v>0</v>
      </c>
      <c r="AH172" s="27">
        <f t="shared" si="117"/>
        <v>0</v>
      </c>
      <c r="AI172" s="38" t="s">
        <v>26</v>
      </c>
      <c r="AJ172" s="23"/>
      <c r="AK172" s="11"/>
      <c r="AL172" s="22">
        <v>-5.0999999999999997E-2</v>
      </c>
      <c r="AM172" s="22">
        <v>-5.1999999999999998E-2</v>
      </c>
      <c r="AN172" s="22">
        <v>-5.0999999999999997E-2</v>
      </c>
      <c r="AO172" s="27">
        <f t="shared" si="118"/>
        <v>1.9607843137254919E-2</v>
      </c>
      <c r="AP172" s="27">
        <f t="shared" si="119"/>
        <v>0</v>
      </c>
      <c r="AQ172" s="38" t="s">
        <v>26</v>
      </c>
      <c r="AR172" s="23"/>
      <c r="AS172" s="11"/>
      <c r="AT172" s="12"/>
    </row>
    <row r="173" spans="2:46" customFormat="1" ht="28.8" x14ac:dyDescent="0.3">
      <c r="B173" s="10" t="s">
        <v>456</v>
      </c>
      <c r="C173" s="61"/>
      <c r="D173" s="8" t="s">
        <v>320</v>
      </c>
      <c r="E173" s="8" t="s">
        <v>320</v>
      </c>
      <c r="F173" s="8" t="s">
        <v>548</v>
      </c>
      <c r="G173" s="8" t="s">
        <v>328</v>
      </c>
      <c r="H173" s="38" t="s">
        <v>26</v>
      </c>
      <c r="I173" s="2"/>
      <c r="J173" s="4">
        <v>-0.05</v>
      </c>
      <c r="K173" s="4" t="s">
        <v>169</v>
      </c>
      <c r="L173" s="5">
        <v>4.9000000000000002E-2</v>
      </c>
      <c r="M173" s="2"/>
      <c r="N173" s="22">
        <v>-5.0999999999999997E-2</v>
      </c>
      <c r="O173" s="22">
        <v>-5.0999999999999997E-2</v>
      </c>
      <c r="P173" s="22">
        <v>-5.0999999999999997E-2</v>
      </c>
      <c r="Q173" s="27">
        <f t="shared" si="112"/>
        <v>0</v>
      </c>
      <c r="R173" s="27">
        <f t="shared" si="113"/>
        <v>0</v>
      </c>
      <c r="S173" s="38" t="s">
        <v>26</v>
      </c>
      <c r="T173" s="23"/>
      <c r="U173" s="11"/>
      <c r="V173" s="22">
        <v>-5.0999999999999997E-2</v>
      </c>
      <c r="W173" s="22">
        <v>-5.0999999999999997E-2</v>
      </c>
      <c r="X173" s="22">
        <v>-5.0999999999999997E-2</v>
      </c>
      <c r="Y173" s="27">
        <f t="shared" si="114"/>
        <v>0</v>
      </c>
      <c r="Z173" s="27">
        <f t="shared" si="115"/>
        <v>0</v>
      </c>
      <c r="AA173" s="38" t="s">
        <v>26</v>
      </c>
      <c r="AB173" s="23"/>
      <c r="AC173" s="11"/>
      <c r="AD173" s="22">
        <v>-5.0999999999999997E-2</v>
      </c>
      <c r="AE173" s="22">
        <v>-5.0999999999999997E-2</v>
      </c>
      <c r="AF173" s="22">
        <v>-5.0999999999999997E-2</v>
      </c>
      <c r="AG173" s="27">
        <f t="shared" si="116"/>
        <v>0</v>
      </c>
      <c r="AH173" s="27">
        <f t="shared" si="117"/>
        <v>0</v>
      </c>
      <c r="AI173" s="38" t="s">
        <v>26</v>
      </c>
      <c r="AJ173" s="23"/>
      <c r="AK173" s="11"/>
      <c r="AL173" s="22">
        <v>-5.0999999999999997E-2</v>
      </c>
      <c r="AM173" s="22">
        <v>-5.1999999999999998E-2</v>
      </c>
      <c r="AN173" s="22">
        <v>-5.0999999999999997E-2</v>
      </c>
      <c r="AO173" s="27">
        <f t="shared" si="118"/>
        <v>1.9607843137254919E-2</v>
      </c>
      <c r="AP173" s="27">
        <f t="shared" si="119"/>
        <v>0</v>
      </c>
      <c r="AQ173" s="38" t="s">
        <v>26</v>
      </c>
      <c r="AR173" s="23"/>
      <c r="AS173" s="11"/>
      <c r="AT173" s="12"/>
    </row>
    <row r="174" spans="2:46" customFormat="1" ht="28.8" x14ac:dyDescent="0.3">
      <c r="B174" s="10" t="s">
        <v>457</v>
      </c>
      <c r="C174" s="61"/>
      <c r="D174" s="8" t="s">
        <v>320</v>
      </c>
      <c r="E174" s="8" t="s">
        <v>320</v>
      </c>
      <c r="F174" s="8" t="s">
        <v>548</v>
      </c>
      <c r="G174" s="8" t="s">
        <v>330</v>
      </c>
      <c r="H174" s="38" t="s">
        <v>26</v>
      </c>
      <c r="I174" s="2"/>
      <c r="J174" s="4">
        <v>-0.05</v>
      </c>
      <c r="K174" s="4" t="s">
        <v>169</v>
      </c>
      <c r="L174" s="5">
        <v>4.9000000000000002E-2</v>
      </c>
      <c r="M174" s="2"/>
      <c r="N174" s="22">
        <v>-5.0999999999999997E-2</v>
      </c>
      <c r="O174" s="22">
        <v>-5.0999999999999997E-2</v>
      </c>
      <c r="P174" s="22">
        <v>-5.0999999999999997E-2</v>
      </c>
      <c r="Q174" s="27">
        <f t="shared" si="112"/>
        <v>0</v>
      </c>
      <c r="R174" s="27">
        <f t="shared" si="113"/>
        <v>0</v>
      </c>
      <c r="S174" s="38" t="s">
        <v>26</v>
      </c>
      <c r="T174" s="23"/>
      <c r="U174" s="11"/>
      <c r="V174" s="22">
        <v>-5.0999999999999997E-2</v>
      </c>
      <c r="W174" s="22">
        <v>-5.0999999999999997E-2</v>
      </c>
      <c r="X174" s="22">
        <v>-5.0999999999999997E-2</v>
      </c>
      <c r="Y174" s="27">
        <f t="shared" si="114"/>
        <v>0</v>
      </c>
      <c r="Z174" s="27">
        <f t="shared" si="115"/>
        <v>0</v>
      </c>
      <c r="AA174" s="38" t="s">
        <v>26</v>
      </c>
      <c r="AB174" s="23"/>
      <c r="AC174" s="11"/>
      <c r="AD174" s="22">
        <v>-5.0999999999999997E-2</v>
      </c>
      <c r="AE174" s="22">
        <v>-5.0999999999999997E-2</v>
      </c>
      <c r="AF174" s="22">
        <v>-5.0999999999999997E-2</v>
      </c>
      <c r="AG174" s="27">
        <f t="shared" si="116"/>
        <v>0</v>
      </c>
      <c r="AH174" s="27">
        <f t="shared" si="117"/>
        <v>0</v>
      </c>
      <c r="AI174" s="38" t="s">
        <v>26</v>
      </c>
      <c r="AJ174" s="23"/>
      <c r="AK174" s="11"/>
      <c r="AL174" s="22">
        <v>-5.0999999999999997E-2</v>
      </c>
      <c r="AM174" s="22">
        <v>-5.1999999999999998E-2</v>
      </c>
      <c r="AN174" s="22">
        <v>-5.0999999999999997E-2</v>
      </c>
      <c r="AO174" s="27">
        <f t="shared" si="118"/>
        <v>1.9607843137254919E-2</v>
      </c>
      <c r="AP174" s="27">
        <f t="shared" si="119"/>
        <v>0</v>
      </c>
      <c r="AQ174" s="38" t="s">
        <v>26</v>
      </c>
      <c r="AR174" s="23"/>
      <c r="AS174" s="11"/>
      <c r="AT174" s="12"/>
    </row>
    <row r="175" spans="2:46" customFormat="1" ht="28.8" x14ac:dyDescent="0.3">
      <c r="B175" s="10" t="s">
        <v>458</v>
      </c>
      <c r="C175" s="61"/>
      <c r="D175" s="8" t="s">
        <v>320</v>
      </c>
      <c r="E175" s="8" t="s">
        <v>320</v>
      </c>
      <c r="F175" s="8" t="s">
        <v>548</v>
      </c>
      <c r="G175" s="8" t="s">
        <v>332</v>
      </c>
      <c r="H175" s="38" t="s">
        <v>26</v>
      </c>
      <c r="I175" s="2"/>
      <c r="J175" s="4">
        <v>-0.05</v>
      </c>
      <c r="K175" s="4" t="s">
        <v>169</v>
      </c>
      <c r="L175" s="5">
        <v>4.9000000000000002E-2</v>
      </c>
      <c r="M175" s="2"/>
      <c r="N175" s="22">
        <v>-5.0999999999999997E-2</v>
      </c>
      <c r="O175" s="22">
        <v>-5.0999999999999997E-2</v>
      </c>
      <c r="P175" s="22">
        <v>-5.0999999999999997E-2</v>
      </c>
      <c r="Q175" s="27">
        <f t="shared" si="112"/>
        <v>0</v>
      </c>
      <c r="R175" s="27">
        <f t="shared" si="113"/>
        <v>0</v>
      </c>
      <c r="S175" s="38" t="s">
        <v>26</v>
      </c>
      <c r="T175" s="23"/>
      <c r="U175" s="11"/>
      <c r="V175" s="22">
        <v>-5.0999999999999997E-2</v>
      </c>
      <c r="W175" s="22">
        <v>-5.0999999999999997E-2</v>
      </c>
      <c r="X175" s="22">
        <v>-5.0999999999999997E-2</v>
      </c>
      <c r="Y175" s="27">
        <f t="shared" si="114"/>
        <v>0</v>
      </c>
      <c r="Z175" s="27">
        <f t="shared" si="115"/>
        <v>0</v>
      </c>
      <c r="AA175" s="38" t="s">
        <v>26</v>
      </c>
      <c r="AB175" s="23"/>
      <c r="AC175" s="11"/>
      <c r="AD175" s="22">
        <v>-5.0999999999999997E-2</v>
      </c>
      <c r="AE175" s="22">
        <v>-5.0999999999999997E-2</v>
      </c>
      <c r="AF175" s="22">
        <v>-5.0999999999999997E-2</v>
      </c>
      <c r="AG175" s="27">
        <f t="shared" si="116"/>
        <v>0</v>
      </c>
      <c r="AH175" s="27">
        <f t="shared" si="117"/>
        <v>0</v>
      </c>
      <c r="AI175" s="38" t="s">
        <v>26</v>
      </c>
      <c r="AJ175" s="23"/>
      <c r="AK175" s="11"/>
      <c r="AL175" s="22">
        <v>-5.0999999999999997E-2</v>
      </c>
      <c r="AM175" s="22">
        <v>-5.1999999999999998E-2</v>
      </c>
      <c r="AN175" s="22">
        <v>-0.05</v>
      </c>
      <c r="AO175" s="27">
        <f t="shared" si="118"/>
        <v>1.9607843137254919E-2</v>
      </c>
      <c r="AP175" s="27">
        <f t="shared" si="119"/>
        <v>-1.9607843137254784E-2</v>
      </c>
      <c r="AQ175" s="38" t="s">
        <v>26</v>
      </c>
      <c r="AR175" s="23"/>
      <c r="AS175" s="11"/>
      <c r="AT175" s="12"/>
    </row>
    <row r="176" spans="2:46" customFormat="1" ht="28.8" x14ac:dyDescent="0.3">
      <c r="B176" s="10" t="s">
        <v>459</v>
      </c>
      <c r="C176" s="61"/>
      <c r="D176" s="8" t="s">
        <v>320</v>
      </c>
      <c r="E176" s="8" t="s">
        <v>320</v>
      </c>
      <c r="F176" s="8" t="s">
        <v>548</v>
      </c>
      <c r="G176" s="8" t="s">
        <v>334</v>
      </c>
      <c r="H176" s="38" t="s">
        <v>26</v>
      </c>
      <c r="I176" s="2"/>
      <c r="J176" s="4">
        <v>-0.05</v>
      </c>
      <c r="K176" s="4" t="s">
        <v>169</v>
      </c>
      <c r="L176" s="5">
        <v>4.9000000000000002E-2</v>
      </c>
      <c r="M176" s="2"/>
      <c r="N176" s="22">
        <v>-5.0999999999999997E-2</v>
      </c>
      <c r="O176" s="22">
        <v>-5.0999999999999997E-2</v>
      </c>
      <c r="P176" s="22">
        <v>-5.0999999999999997E-2</v>
      </c>
      <c r="Q176" s="27">
        <f t="shared" si="112"/>
        <v>0</v>
      </c>
      <c r="R176" s="27">
        <f t="shared" si="113"/>
        <v>0</v>
      </c>
      <c r="S176" s="38" t="s">
        <v>26</v>
      </c>
      <c r="T176" s="23"/>
      <c r="U176" s="11"/>
      <c r="V176" s="22">
        <v>-5.0999999999999997E-2</v>
      </c>
      <c r="W176" s="22">
        <v>-5.0999999999999997E-2</v>
      </c>
      <c r="X176" s="22">
        <v>-5.0999999999999997E-2</v>
      </c>
      <c r="Y176" s="27">
        <f t="shared" si="114"/>
        <v>0</v>
      </c>
      <c r="Z176" s="27">
        <f t="shared" si="115"/>
        <v>0</v>
      </c>
      <c r="AA176" s="38" t="s">
        <v>26</v>
      </c>
      <c r="AB176" s="23"/>
      <c r="AC176" s="11"/>
      <c r="AD176" s="22">
        <v>-5.0999999999999997E-2</v>
      </c>
      <c r="AE176" s="22">
        <v>-5.0999999999999997E-2</v>
      </c>
      <c r="AF176" s="22">
        <v>-5.0999999999999997E-2</v>
      </c>
      <c r="AG176" s="27">
        <f t="shared" si="116"/>
        <v>0</v>
      </c>
      <c r="AH176" s="27">
        <f t="shared" si="117"/>
        <v>0</v>
      </c>
      <c r="AI176" s="38" t="s">
        <v>26</v>
      </c>
      <c r="AJ176" s="23"/>
      <c r="AK176" s="11"/>
      <c r="AL176" s="22">
        <v>-5.0999999999999997E-2</v>
      </c>
      <c r="AM176" s="22">
        <v>-5.1999999999999998E-2</v>
      </c>
      <c r="AN176" s="22">
        <v>-0.05</v>
      </c>
      <c r="AO176" s="27">
        <f t="shared" si="118"/>
        <v>1.9607843137254919E-2</v>
      </c>
      <c r="AP176" s="27">
        <f t="shared" si="119"/>
        <v>-1.9607843137254784E-2</v>
      </c>
      <c r="AQ176" s="38" t="s">
        <v>26</v>
      </c>
      <c r="AR176" s="23"/>
      <c r="AS176" s="11"/>
      <c r="AT176" s="12"/>
    </row>
    <row r="177" spans="2:46" customFormat="1" ht="28.8" x14ac:dyDescent="0.3">
      <c r="B177" s="10" t="s">
        <v>460</v>
      </c>
      <c r="C177" s="61"/>
      <c r="D177" s="8" t="s">
        <v>320</v>
      </c>
      <c r="E177" s="8" t="s">
        <v>320</v>
      </c>
      <c r="F177" s="8" t="s">
        <v>548</v>
      </c>
      <c r="G177" s="8" t="s">
        <v>336</v>
      </c>
      <c r="H177" s="38" t="s">
        <v>26</v>
      </c>
      <c r="I177" s="2"/>
      <c r="J177" s="4">
        <v>-0.05</v>
      </c>
      <c r="K177" s="4" t="s">
        <v>169</v>
      </c>
      <c r="L177" s="5">
        <v>4.9000000000000002E-2</v>
      </c>
      <c r="M177" s="2"/>
      <c r="N177" s="22">
        <v>-5.0999999999999997E-2</v>
      </c>
      <c r="O177" s="22">
        <v>-5.0999999999999997E-2</v>
      </c>
      <c r="P177" s="22">
        <v>-5.0999999999999997E-2</v>
      </c>
      <c r="Q177" s="27">
        <f t="shared" si="112"/>
        <v>0</v>
      </c>
      <c r="R177" s="27">
        <f t="shared" si="113"/>
        <v>0</v>
      </c>
      <c r="S177" s="38" t="s">
        <v>26</v>
      </c>
      <c r="T177" s="23"/>
      <c r="U177" s="11"/>
      <c r="V177" s="22">
        <v>-5.0999999999999997E-2</v>
      </c>
      <c r="W177" s="22">
        <v>-5.0999999999999997E-2</v>
      </c>
      <c r="X177" s="22">
        <v>-5.0999999999999997E-2</v>
      </c>
      <c r="Y177" s="27">
        <f t="shared" si="114"/>
        <v>0</v>
      </c>
      <c r="Z177" s="27">
        <f t="shared" si="115"/>
        <v>0</v>
      </c>
      <c r="AA177" s="38" t="s">
        <v>26</v>
      </c>
      <c r="AB177" s="23"/>
      <c r="AC177" s="11"/>
      <c r="AD177" s="22">
        <v>-5.0999999999999997E-2</v>
      </c>
      <c r="AE177" s="22">
        <v>-5.0999999999999997E-2</v>
      </c>
      <c r="AF177" s="22">
        <v>-5.0999999999999997E-2</v>
      </c>
      <c r="AG177" s="27">
        <f t="shared" si="116"/>
        <v>0</v>
      </c>
      <c r="AH177" s="27">
        <f t="shared" si="117"/>
        <v>0</v>
      </c>
      <c r="AI177" s="38" t="s">
        <v>26</v>
      </c>
      <c r="AJ177" s="23"/>
      <c r="AK177" s="11"/>
      <c r="AL177" s="22">
        <v>-5.0999999999999997E-2</v>
      </c>
      <c r="AM177" s="22">
        <v>-5.1999999999999998E-2</v>
      </c>
      <c r="AN177" s="22">
        <v>-0.05</v>
      </c>
      <c r="AO177" s="27">
        <f t="shared" si="118"/>
        <v>1.9607843137254919E-2</v>
      </c>
      <c r="AP177" s="27">
        <f t="shared" si="119"/>
        <v>-1.9607843137254784E-2</v>
      </c>
      <c r="AQ177" s="38" t="s">
        <v>26</v>
      </c>
      <c r="AR177" s="23"/>
      <c r="AS177" s="11"/>
      <c r="AT177" s="12"/>
    </row>
    <row r="178" spans="2:46" customFormat="1" ht="28.8" x14ac:dyDescent="0.3">
      <c r="B178" s="10" t="s">
        <v>461</v>
      </c>
      <c r="C178" s="61"/>
      <c r="D178" s="8" t="s">
        <v>320</v>
      </c>
      <c r="E178" s="8" t="s">
        <v>320</v>
      </c>
      <c r="F178" s="8" t="s">
        <v>548</v>
      </c>
      <c r="G178" s="8" t="s">
        <v>338</v>
      </c>
      <c r="H178" s="38" t="s">
        <v>26</v>
      </c>
      <c r="I178" s="2"/>
      <c r="J178" s="4">
        <v>-0.05</v>
      </c>
      <c r="K178" s="4" t="s">
        <v>169</v>
      </c>
      <c r="L178" s="5">
        <v>4.9000000000000002E-2</v>
      </c>
      <c r="M178" s="2"/>
      <c r="N178" s="22">
        <v>-5.0999999999999997E-2</v>
      </c>
      <c r="O178" s="22">
        <v>-5.0999999999999997E-2</v>
      </c>
      <c r="P178" s="22">
        <v>-5.0999999999999997E-2</v>
      </c>
      <c r="Q178" s="27">
        <f t="shared" si="112"/>
        <v>0</v>
      </c>
      <c r="R178" s="27">
        <f t="shared" si="113"/>
        <v>0</v>
      </c>
      <c r="S178" s="38" t="s">
        <v>26</v>
      </c>
      <c r="T178" s="23"/>
      <c r="U178" s="11"/>
      <c r="V178" s="22">
        <v>-5.0999999999999997E-2</v>
      </c>
      <c r="W178" s="22">
        <v>-5.0999999999999997E-2</v>
      </c>
      <c r="X178" s="22">
        <v>-5.0999999999999997E-2</v>
      </c>
      <c r="Y178" s="27">
        <f t="shared" si="114"/>
        <v>0</v>
      </c>
      <c r="Z178" s="27">
        <f t="shared" si="115"/>
        <v>0</v>
      </c>
      <c r="AA178" s="38" t="s">
        <v>26</v>
      </c>
      <c r="AB178" s="23"/>
      <c r="AC178" s="11"/>
      <c r="AD178" s="22">
        <v>-5.0999999999999997E-2</v>
      </c>
      <c r="AE178" s="22">
        <v>-5.0999999999999997E-2</v>
      </c>
      <c r="AF178" s="22">
        <v>-5.0999999999999997E-2</v>
      </c>
      <c r="AG178" s="27">
        <f t="shared" si="116"/>
        <v>0</v>
      </c>
      <c r="AH178" s="27">
        <f t="shared" si="117"/>
        <v>0</v>
      </c>
      <c r="AI178" s="38" t="s">
        <v>26</v>
      </c>
      <c r="AJ178" s="23"/>
      <c r="AK178" s="11"/>
      <c r="AL178" s="22">
        <v>-5.0999999999999997E-2</v>
      </c>
      <c r="AM178" s="22">
        <v>-5.1999999999999998E-2</v>
      </c>
      <c r="AN178" s="22">
        <v>-0.05</v>
      </c>
      <c r="AO178" s="27">
        <f t="shared" si="118"/>
        <v>1.9607843137254919E-2</v>
      </c>
      <c r="AP178" s="27">
        <f t="shared" si="119"/>
        <v>-1.9607843137254784E-2</v>
      </c>
      <c r="AQ178" s="38" t="s">
        <v>26</v>
      </c>
      <c r="AR178" s="23"/>
      <c r="AS178" s="11"/>
      <c r="AT178" s="12"/>
    </row>
    <row r="179" spans="2:46" customFormat="1" ht="28.8" x14ac:dyDescent="0.3">
      <c r="B179" s="10" t="s">
        <v>462</v>
      </c>
      <c r="C179" s="61"/>
      <c r="D179" s="8" t="s">
        <v>320</v>
      </c>
      <c r="E179" s="8" t="s">
        <v>320</v>
      </c>
      <c r="F179" s="8" t="s">
        <v>549</v>
      </c>
      <c r="G179" s="8" t="s">
        <v>323</v>
      </c>
      <c r="H179" s="38" t="s">
        <v>26</v>
      </c>
      <c r="I179" s="2"/>
      <c r="J179" s="4">
        <v>0.1</v>
      </c>
      <c r="K179" s="4" t="s">
        <v>169</v>
      </c>
      <c r="L179" s="5">
        <v>2.5000000000000001E-2</v>
      </c>
      <c r="M179" s="2"/>
      <c r="N179" s="22">
        <v>0.1</v>
      </c>
      <c r="O179" s="22">
        <v>0.1</v>
      </c>
      <c r="P179" s="22">
        <v>0.1</v>
      </c>
      <c r="Q179" s="27">
        <f t="shared" si="112"/>
        <v>0</v>
      </c>
      <c r="R179" s="27">
        <f t="shared" si="113"/>
        <v>0</v>
      </c>
      <c r="S179" s="38" t="s">
        <v>26</v>
      </c>
      <c r="T179" s="23"/>
      <c r="U179" s="11"/>
      <c r="V179" s="22">
        <v>0.1</v>
      </c>
      <c r="W179" s="22">
        <v>0.1</v>
      </c>
      <c r="X179" s="22">
        <v>0.1</v>
      </c>
      <c r="Y179" s="27">
        <f t="shared" si="114"/>
        <v>0</v>
      </c>
      <c r="Z179" s="27">
        <f t="shared" si="115"/>
        <v>0</v>
      </c>
      <c r="AA179" s="38" t="s">
        <v>26</v>
      </c>
      <c r="AB179" s="23"/>
      <c r="AC179" s="11"/>
      <c r="AD179" s="22">
        <v>0.1</v>
      </c>
      <c r="AE179" s="22">
        <v>0.1</v>
      </c>
      <c r="AF179" s="22">
        <v>0.1</v>
      </c>
      <c r="AG179" s="27">
        <f t="shared" si="116"/>
        <v>0</v>
      </c>
      <c r="AH179" s="27">
        <f t="shared" si="117"/>
        <v>0</v>
      </c>
      <c r="AI179" s="38" t="s">
        <v>26</v>
      </c>
      <c r="AJ179" s="23"/>
      <c r="AK179" s="11"/>
      <c r="AL179" s="22">
        <v>0.1</v>
      </c>
      <c r="AM179" s="22">
        <v>9.9000000000000005E-2</v>
      </c>
      <c r="AN179" s="22">
        <v>0.1</v>
      </c>
      <c r="AO179" s="27">
        <f t="shared" si="118"/>
        <v>-1.0000000000000009E-2</v>
      </c>
      <c r="AP179" s="27">
        <f t="shared" si="119"/>
        <v>0</v>
      </c>
      <c r="AQ179" s="38" t="s">
        <v>26</v>
      </c>
      <c r="AR179" s="22">
        <f>MIN(AM179:AN186)</f>
        <v>9.9000000000000005E-2</v>
      </c>
      <c r="AS179" s="11"/>
      <c r="AT179" s="12"/>
    </row>
    <row r="180" spans="2:46" customFormat="1" ht="28.8" x14ac:dyDescent="0.3">
      <c r="B180" s="10" t="s">
        <v>463</v>
      </c>
      <c r="C180" s="61"/>
      <c r="D180" s="8" t="s">
        <v>320</v>
      </c>
      <c r="E180" s="8" t="s">
        <v>320</v>
      </c>
      <c r="F180" s="8" t="s">
        <v>549</v>
      </c>
      <c r="G180" s="8" t="s">
        <v>325</v>
      </c>
      <c r="H180" s="38" t="s">
        <v>26</v>
      </c>
      <c r="I180" s="2"/>
      <c r="J180" s="4">
        <v>0.1</v>
      </c>
      <c r="K180" s="4" t="s">
        <v>169</v>
      </c>
      <c r="L180" s="5">
        <v>2.5000000000000001E-2</v>
      </c>
      <c r="M180" s="2"/>
      <c r="N180" s="22">
        <v>0.1</v>
      </c>
      <c r="O180" s="22">
        <v>0.1</v>
      </c>
      <c r="P180" s="22">
        <v>0.1</v>
      </c>
      <c r="Q180" s="27">
        <f t="shared" si="112"/>
        <v>0</v>
      </c>
      <c r="R180" s="27">
        <f t="shared" si="113"/>
        <v>0</v>
      </c>
      <c r="S180" s="38" t="s">
        <v>26</v>
      </c>
      <c r="T180" s="23"/>
      <c r="U180" s="11"/>
      <c r="V180" s="22">
        <v>0.1</v>
      </c>
      <c r="W180" s="22">
        <v>0.1</v>
      </c>
      <c r="X180" s="22">
        <v>0.1</v>
      </c>
      <c r="Y180" s="27">
        <f t="shared" si="114"/>
        <v>0</v>
      </c>
      <c r="Z180" s="27">
        <f t="shared" si="115"/>
        <v>0</v>
      </c>
      <c r="AA180" s="38" t="s">
        <v>26</v>
      </c>
      <c r="AB180" s="23"/>
      <c r="AC180" s="11"/>
      <c r="AD180" s="22">
        <v>0.1</v>
      </c>
      <c r="AE180" s="22">
        <v>0.1</v>
      </c>
      <c r="AF180" s="22">
        <v>0.1</v>
      </c>
      <c r="AG180" s="27">
        <f t="shared" si="116"/>
        <v>0</v>
      </c>
      <c r="AH180" s="27">
        <f t="shared" si="117"/>
        <v>0</v>
      </c>
      <c r="AI180" s="38" t="s">
        <v>26</v>
      </c>
      <c r="AJ180" s="23"/>
      <c r="AK180" s="11"/>
      <c r="AL180" s="22">
        <v>0.1</v>
      </c>
      <c r="AM180" s="22">
        <v>9.9000000000000005E-2</v>
      </c>
      <c r="AN180" s="22">
        <v>0.1</v>
      </c>
      <c r="AO180" s="27">
        <f t="shared" si="118"/>
        <v>-1.0000000000000009E-2</v>
      </c>
      <c r="AP180" s="27">
        <f t="shared" si="119"/>
        <v>0</v>
      </c>
      <c r="AQ180" s="38" t="s">
        <v>26</v>
      </c>
      <c r="AR180" s="22">
        <f>MAX(AM179:AN186)</f>
        <v>0.10100000000000001</v>
      </c>
      <c r="AS180" s="11"/>
      <c r="AT180" s="12"/>
    </row>
    <row r="181" spans="2:46" customFormat="1" ht="28.8" x14ac:dyDescent="0.3">
      <c r="B181" s="10" t="s">
        <v>464</v>
      </c>
      <c r="C181" s="61"/>
      <c r="D181" s="8" t="s">
        <v>320</v>
      </c>
      <c r="E181" s="8" t="s">
        <v>320</v>
      </c>
      <c r="F181" s="8" t="s">
        <v>549</v>
      </c>
      <c r="G181" s="8" t="s">
        <v>327</v>
      </c>
      <c r="H181" s="38" t="s">
        <v>26</v>
      </c>
      <c r="I181" s="2"/>
      <c r="J181" s="4">
        <v>0.1</v>
      </c>
      <c r="K181" s="4" t="s">
        <v>169</v>
      </c>
      <c r="L181" s="5">
        <v>2.5000000000000001E-2</v>
      </c>
      <c r="M181" s="2"/>
      <c r="N181" s="22">
        <v>0.1</v>
      </c>
      <c r="O181" s="22">
        <v>0.1</v>
      </c>
      <c r="P181" s="22">
        <v>0.1</v>
      </c>
      <c r="Q181" s="27">
        <f t="shared" si="112"/>
        <v>0</v>
      </c>
      <c r="R181" s="27">
        <f t="shared" si="113"/>
        <v>0</v>
      </c>
      <c r="S181" s="38" t="s">
        <v>26</v>
      </c>
      <c r="T181" s="23"/>
      <c r="U181" s="11"/>
      <c r="V181" s="22">
        <v>0.1</v>
      </c>
      <c r="W181" s="22">
        <v>0.1</v>
      </c>
      <c r="X181" s="22">
        <v>0.1</v>
      </c>
      <c r="Y181" s="27">
        <f t="shared" si="114"/>
        <v>0</v>
      </c>
      <c r="Z181" s="27">
        <f t="shared" si="115"/>
        <v>0</v>
      </c>
      <c r="AA181" s="38" t="s">
        <v>26</v>
      </c>
      <c r="AB181" s="23"/>
      <c r="AC181" s="11"/>
      <c r="AD181" s="22">
        <v>0.1</v>
      </c>
      <c r="AE181" s="22">
        <v>0.1</v>
      </c>
      <c r="AF181" s="22">
        <v>0.1</v>
      </c>
      <c r="AG181" s="27">
        <f t="shared" si="116"/>
        <v>0</v>
      </c>
      <c r="AH181" s="27">
        <f t="shared" si="117"/>
        <v>0</v>
      </c>
      <c r="AI181" s="38" t="s">
        <v>26</v>
      </c>
      <c r="AJ181" s="23"/>
      <c r="AK181" s="11"/>
      <c r="AL181" s="22">
        <v>0.1</v>
      </c>
      <c r="AM181" s="22">
        <v>9.9000000000000005E-2</v>
      </c>
      <c r="AN181" s="22">
        <v>0.1</v>
      </c>
      <c r="AO181" s="27">
        <f t="shared" si="118"/>
        <v>-1.0000000000000009E-2</v>
      </c>
      <c r="AP181" s="27">
        <f t="shared" si="119"/>
        <v>0</v>
      </c>
      <c r="AQ181" s="38" t="s">
        <v>26</v>
      </c>
      <c r="AR181" s="23"/>
      <c r="AS181" s="11"/>
      <c r="AT181" s="12"/>
    </row>
    <row r="182" spans="2:46" customFormat="1" ht="28.8" x14ac:dyDescent="0.3">
      <c r="B182" s="10" t="s">
        <v>465</v>
      </c>
      <c r="C182" s="61"/>
      <c r="D182" s="8" t="s">
        <v>320</v>
      </c>
      <c r="E182" s="8" t="s">
        <v>320</v>
      </c>
      <c r="F182" s="8" t="s">
        <v>549</v>
      </c>
      <c r="G182" s="8" t="s">
        <v>329</v>
      </c>
      <c r="H182" s="38" t="s">
        <v>26</v>
      </c>
      <c r="I182" s="2"/>
      <c r="J182" s="4">
        <v>0.1</v>
      </c>
      <c r="K182" s="4" t="s">
        <v>169</v>
      </c>
      <c r="L182" s="5">
        <v>2.5000000000000001E-2</v>
      </c>
      <c r="M182" s="2"/>
      <c r="N182" s="22">
        <v>0.1</v>
      </c>
      <c r="O182" s="22">
        <v>0.1</v>
      </c>
      <c r="P182" s="22">
        <v>0.1</v>
      </c>
      <c r="Q182" s="27">
        <f t="shared" si="112"/>
        <v>0</v>
      </c>
      <c r="R182" s="27">
        <f t="shared" si="113"/>
        <v>0</v>
      </c>
      <c r="S182" s="38" t="s">
        <v>26</v>
      </c>
      <c r="T182" s="23"/>
      <c r="U182" s="11"/>
      <c r="V182" s="22">
        <v>0.1</v>
      </c>
      <c r="W182" s="22">
        <v>0.1</v>
      </c>
      <c r="X182" s="22">
        <v>0.1</v>
      </c>
      <c r="Y182" s="27">
        <f t="shared" si="114"/>
        <v>0</v>
      </c>
      <c r="Z182" s="27">
        <f t="shared" si="115"/>
        <v>0</v>
      </c>
      <c r="AA182" s="38" t="s">
        <v>26</v>
      </c>
      <c r="AB182" s="23"/>
      <c r="AC182" s="11"/>
      <c r="AD182" s="22">
        <v>0.1</v>
      </c>
      <c r="AE182" s="22">
        <v>0.1</v>
      </c>
      <c r="AF182" s="22">
        <v>0.1</v>
      </c>
      <c r="AG182" s="27">
        <f t="shared" si="116"/>
        <v>0</v>
      </c>
      <c r="AH182" s="27">
        <f t="shared" si="117"/>
        <v>0</v>
      </c>
      <c r="AI182" s="38" t="s">
        <v>26</v>
      </c>
      <c r="AJ182" s="23"/>
      <c r="AK182" s="11"/>
      <c r="AL182" s="22">
        <v>0.1</v>
      </c>
      <c r="AM182" s="22">
        <v>9.9000000000000005E-2</v>
      </c>
      <c r="AN182" s="22">
        <v>0.1</v>
      </c>
      <c r="AO182" s="27">
        <f t="shared" si="118"/>
        <v>-1.0000000000000009E-2</v>
      </c>
      <c r="AP182" s="27">
        <f t="shared" si="119"/>
        <v>0</v>
      </c>
      <c r="AQ182" s="38" t="s">
        <v>26</v>
      </c>
      <c r="AR182" s="23"/>
      <c r="AS182" s="11"/>
      <c r="AT182" s="12"/>
    </row>
    <row r="183" spans="2:46" customFormat="1" ht="28.8" x14ac:dyDescent="0.3">
      <c r="B183" s="10" t="s">
        <v>466</v>
      </c>
      <c r="C183" s="61"/>
      <c r="D183" s="8" t="s">
        <v>320</v>
      </c>
      <c r="E183" s="8" t="s">
        <v>320</v>
      </c>
      <c r="F183" s="8" t="s">
        <v>549</v>
      </c>
      <c r="G183" s="8" t="s">
        <v>331</v>
      </c>
      <c r="H183" s="38" t="s">
        <v>26</v>
      </c>
      <c r="I183" s="2"/>
      <c r="J183" s="4">
        <v>0.1</v>
      </c>
      <c r="K183" s="4" t="s">
        <v>169</v>
      </c>
      <c r="L183" s="5">
        <v>2.5000000000000001E-2</v>
      </c>
      <c r="M183" s="2"/>
      <c r="N183" s="22">
        <v>0.1</v>
      </c>
      <c r="O183" s="22">
        <v>0.1</v>
      </c>
      <c r="P183" s="22">
        <v>0.1</v>
      </c>
      <c r="Q183" s="27">
        <f t="shared" si="112"/>
        <v>0</v>
      </c>
      <c r="R183" s="27">
        <f t="shared" si="113"/>
        <v>0</v>
      </c>
      <c r="S183" s="38" t="s">
        <v>26</v>
      </c>
      <c r="T183" s="23"/>
      <c r="U183" s="11"/>
      <c r="V183" s="22">
        <v>0.1</v>
      </c>
      <c r="W183" s="22">
        <v>0.1</v>
      </c>
      <c r="X183" s="22">
        <v>0.1</v>
      </c>
      <c r="Y183" s="27">
        <f t="shared" si="114"/>
        <v>0</v>
      </c>
      <c r="Z183" s="27">
        <f t="shared" si="115"/>
        <v>0</v>
      </c>
      <c r="AA183" s="38" t="s">
        <v>26</v>
      </c>
      <c r="AB183" s="23"/>
      <c r="AC183" s="11"/>
      <c r="AD183" s="22">
        <v>0.1</v>
      </c>
      <c r="AE183" s="22">
        <v>0.1</v>
      </c>
      <c r="AF183" s="22">
        <v>0.1</v>
      </c>
      <c r="AG183" s="27">
        <f t="shared" si="116"/>
        <v>0</v>
      </c>
      <c r="AH183" s="27">
        <f t="shared" si="117"/>
        <v>0</v>
      </c>
      <c r="AI183" s="38" t="s">
        <v>26</v>
      </c>
      <c r="AJ183" s="23"/>
      <c r="AK183" s="11"/>
      <c r="AL183" s="22">
        <v>0.1</v>
      </c>
      <c r="AM183" s="22">
        <v>9.9000000000000005E-2</v>
      </c>
      <c r="AN183" s="22">
        <v>0.1</v>
      </c>
      <c r="AO183" s="27">
        <f t="shared" si="118"/>
        <v>-1.0000000000000009E-2</v>
      </c>
      <c r="AP183" s="27">
        <f t="shared" si="119"/>
        <v>0</v>
      </c>
      <c r="AQ183" s="38" t="s">
        <v>26</v>
      </c>
      <c r="AR183" s="23"/>
      <c r="AS183" s="11"/>
      <c r="AT183" s="12"/>
    </row>
    <row r="184" spans="2:46" customFormat="1" ht="28.8" x14ac:dyDescent="0.3">
      <c r="B184" s="10" t="s">
        <v>467</v>
      </c>
      <c r="C184" s="61"/>
      <c r="D184" s="8" t="s">
        <v>320</v>
      </c>
      <c r="E184" s="8" t="s">
        <v>320</v>
      </c>
      <c r="F184" s="8" t="s">
        <v>549</v>
      </c>
      <c r="G184" s="8" t="s">
        <v>333</v>
      </c>
      <c r="H184" s="38" t="s">
        <v>26</v>
      </c>
      <c r="I184" s="2"/>
      <c r="J184" s="4">
        <v>0.1</v>
      </c>
      <c r="K184" s="4" t="s">
        <v>169</v>
      </c>
      <c r="L184" s="5">
        <v>2.5000000000000001E-2</v>
      </c>
      <c r="M184" s="2"/>
      <c r="N184" s="22">
        <v>0.1</v>
      </c>
      <c r="O184" s="22">
        <v>0.1</v>
      </c>
      <c r="P184" s="22">
        <v>0.1</v>
      </c>
      <c r="Q184" s="27">
        <f t="shared" si="112"/>
        <v>0</v>
      </c>
      <c r="R184" s="27">
        <f t="shared" si="113"/>
        <v>0</v>
      </c>
      <c r="S184" s="38" t="s">
        <v>26</v>
      </c>
      <c r="T184" s="23"/>
      <c r="U184" s="11"/>
      <c r="V184" s="22">
        <v>0.1</v>
      </c>
      <c r="W184" s="22">
        <v>0.1</v>
      </c>
      <c r="X184" s="22">
        <v>0.1</v>
      </c>
      <c r="Y184" s="27">
        <f t="shared" si="114"/>
        <v>0</v>
      </c>
      <c r="Z184" s="27">
        <f t="shared" si="115"/>
        <v>0</v>
      </c>
      <c r="AA184" s="38" t="s">
        <v>26</v>
      </c>
      <c r="AB184" s="23"/>
      <c r="AC184" s="11"/>
      <c r="AD184" s="22">
        <v>0.1</v>
      </c>
      <c r="AE184" s="22">
        <v>0.1</v>
      </c>
      <c r="AF184" s="22">
        <v>0.1</v>
      </c>
      <c r="AG184" s="27">
        <f t="shared" si="116"/>
        <v>0</v>
      </c>
      <c r="AH184" s="27">
        <f t="shared" si="117"/>
        <v>0</v>
      </c>
      <c r="AI184" s="38" t="s">
        <v>26</v>
      </c>
      <c r="AJ184" s="23"/>
      <c r="AK184" s="11"/>
      <c r="AL184" s="22">
        <v>0.1</v>
      </c>
      <c r="AM184" s="22">
        <v>9.9000000000000005E-2</v>
      </c>
      <c r="AN184" s="22">
        <v>0.10100000000000001</v>
      </c>
      <c r="AO184" s="27">
        <f t="shared" si="118"/>
        <v>-1.0000000000000009E-2</v>
      </c>
      <c r="AP184" s="27">
        <f t="shared" si="119"/>
        <v>1.0000000000000009E-2</v>
      </c>
      <c r="AQ184" s="38" t="s">
        <v>26</v>
      </c>
      <c r="AR184" s="23"/>
      <c r="AS184" s="11"/>
      <c r="AT184" s="12"/>
    </row>
    <row r="185" spans="2:46" customFormat="1" ht="28.8" x14ac:dyDescent="0.3">
      <c r="B185" s="10" t="s">
        <v>468</v>
      </c>
      <c r="C185" s="61"/>
      <c r="D185" s="8" t="s">
        <v>320</v>
      </c>
      <c r="E185" s="8" t="s">
        <v>320</v>
      </c>
      <c r="F185" s="8" t="s">
        <v>549</v>
      </c>
      <c r="G185" s="8" t="s">
        <v>335</v>
      </c>
      <c r="H185" s="38" t="s">
        <v>26</v>
      </c>
      <c r="I185" s="2"/>
      <c r="J185" s="4">
        <v>0.1</v>
      </c>
      <c r="K185" s="4" t="s">
        <v>169</v>
      </c>
      <c r="L185" s="5">
        <v>2.5000000000000001E-2</v>
      </c>
      <c r="M185" s="2"/>
      <c r="N185" s="22">
        <v>0.1</v>
      </c>
      <c r="O185" s="22">
        <v>0.1</v>
      </c>
      <c r="P185" s="22">
        <v>0.1</v>
      </c>
      <c r="Q185" s="27">
        <f t="shared" si="112"/>
        <v>0</v>
      </c>
      <c r="R185" s="27">
        <f t="shared" si="113"/>
        <v>0</v>
      </c>
      <c r="S185" s="38" t="s">
        <v>26</v>
      </c>
      <c r="T185" s="23"/>
      <c r="U185" s="11"/>
      <c r="V185" s="22">
        <v>0.1</v>
      </c>
      <c r="W185" s="22">
        <v>0.1</v>
      </c>
      <c r="X185" s="22">
        <v>0.1</v>
      </c>
      <c r="Y185" s="27">
        <f t="shared" si="114"/>
        <v>0</v>
      </c>
      <c r="Z185" s="27">
        <f t="shared" si="115"/>
        <v>0</v>
      </c>
      <c r="AA185" s="38" t="s">
        <v>26</v>
      </c>
      <c r="AB185" s="23"/>
      <c r="AC185" s="11"/>
      <c r="AD185" s="22">
        <v>0.1</v>
      </c>
      <c r="AE185" s="22">
        <v>0.1</v>
      </c>
      <c r="AF185" s="22">
        <v>0.1</v>
      </c>
      <c r="AG185" s="27">
        <f t="shared" si="116"/>
        <v>0</v>
      </c>
      <c r="AH185" s="27">
        <f t="shared" si="117"/>
        <v>0</v>
      </c>
      <c r="AI185" s="38" t="s">
        <v>26</v>
      </c>
      <c r="AJ185" s="23"/>
      <c r="AK185" s="11"/>
      <c r="AL185" s="22">
        <v>0.1</v>
      </c>
      <c r="AM185" s="22">
        <v>9.9000000000000005E-2</v>
      </c>
      <c r="AN185" s="22">
        <v>0.1</v>
      </c>
      <c r="AO185" s="27">
        <f t="shared" si="118"/>
        <v>-1.0000000000000009E-2</v>
      </c>
      <c r="AP185" s="27">
        <f t="shared" si="119"/>
        <v>0</v>
      </c>
      <c r="AQ185" s="38" t="s">
        <v>26</v>
      </c>
      <c r="AR185" s="23"/>
      <c r="AS185" s="11"/>
      <c r="AT185" s="12"/>
    </row>
    <row r="186" spans="2:46" customFormat="1" ht="28.8" x14ac:dyDescent="0.3">
      <c r="B186" s="10" t="s">
        <v>469</v>
      </c>
      <c r="C186" s="61"/>
      <c r="D186" s="8" t="s">
        <v>320</v>
      </c>
      <c r="E186" s="8" t="s">
        <v>320</v>
      </c>
      <c r="F186" s="8" t="s">
        <v>549</v>
      </c>
      <c r="G186" s="8" t="s">
        <v>337</v>
      </c>
      <c r="H186" s="38" t="s">
        <v>26</v>
      </c>
      <c r="I186" s="2"/>
      <c r="J186" s="4">
        <v>0.1</v>
      </c>
      <c r="K186" s="4" t="s">
        <v>169</v>
      </c>
      <c r="L186" s="5">
        <v>2.5000000000000001E-2</v>
      </c>
      <c r="M186" s="2"/>
      <c r="N186" s="22">
        <v>0.1</v>
      </c>
      <c r="O186" s="22">
        <v>0.1</v>
      </c>
      <c r="P186" s="22">
        <v>0.1</v>
      </c>
      <c r="Q186" s="27">
        <f t="shared" si="112"/>
        <v>0</v>
      </c>
      <c r="R186" s="27">
        <f t="shared" si="113"/>
        <v>0</v>
      </c>
      <c r="S186" s="38" t="s">
        <v>26</v>
      </c>
      <c r="T186" s="23"/>
      <c r="U186" s="11"/>
      <c r="V186" s="22">
        <v>0.1</v>
      </c>
      <c r="W186" s="22">
        <v>0.1</v>
      </c>
      <c r="X186" s="22">
        <v>0.1</v>
      </c>
      <c r="Y186" s="27">
        <f t="shared" si="114"/>
        <v>0</v>
      </c>
      <c r="Z186" s="27">
        <f t="shared" si="115"/>
        <v>0</v>
      </c>
      <c r="AA186" s="38" t="s">
        <v>26</v>
      </c>
      <c r="AB186" s="23"/>
      <c r="AC186" s="11"/>
      <c r="AD186" s="22">
        <v>0.1</v>
      </c>
      <c r="AE186" s="22">
        <v>0.1</v>
      </c>
      <c r="AF186" s="22">
        <v>0.1</v>
      </c>
      <c r="AG186" s="27">
        <f t="shared" si="116"/>
        <v>0</v>
      </c>
      <c r="AH186" s="27">
        <f t="shared" si="117"/>
        <v>0</v>
      </c>
      <c r="AI186" s="38" t="s">
        <v>26</v>
      </c>
      <c r="AJ186" s="23"/>
      <c r="AK186" s="11"/>
      <c r="AL186" s="22">
        <v>0.1</v>
      </c>
      <c r="AM186" s="22">
        <v>9.9000000000000005E-2</v>
      </c>
      <c r="AN186" s="22">
        <v>0.1</v>
      </c>
      <c r="AO186" s="27">
        <f t="shared" si="118"/>
        <v>-1.0000000000000009E-2</v>
      </c>
      <c r="AP186" s="27">
        <f t="shared" si="119"/>
        <v>0</v>
      </c>
      <c r="AQ186" s="38" t="s">
        <v>26</v>
      </c>
      <c r="AR186" s="23"/>
      <c r="AS186" s="11"/>
      <c r="AT186" s="12"/>
    </row>
    <row r="187" spans="2:46" customFormat="1" ht="28.8" x14ac:dyDescent="0.3">
      <c r="B187" s="10" t="s">
        <v>470</v>
      </c>
      <c r="C187" s="61"/>
      <c r="D187" s="8" t="s">
        <v>320</v>
      </c>
      <c r="E187" s="8" t="s">
        <v>320</v>
      </c>
      <c r="F187" s="8" t="s">
        <v>549</v>
      </c>
      <c r="G187" s="8" t="s">
        <v>324</v>
      </c>
      <c r="H187" s="38" t="s">
        <v>26</v>
      </c>
      <c r="I187" s="2"/>
      <c r="J187" s="4">
        <v>-0.1</v>
      </c>
      <c r="K187" s="4" t="s">
        <v>169</v>
      </c>
      <c r="L187" s="5">
        <v>2.5000000000000001E-2</v>
      </c>
      <c r="M187" s="2"/>
      <c r="N187" s="22">
        <v>-0.1</v>
      </c>
      <c r="O187" s="22">
        <v>-0.1</v>
      </c>
      <c r="P187" s="22">
        <v>-0.1</v>
      </c>
      <c r="Q187" s="27">
        <f t="shared" si="112"/>
        <v>0</v>
      </c>
      <c r="R187" s="27">
        <f t="shared" si="113"/>
        <v>0</v>
      </c>
      <c r="S187" s="38" t="s">
        <v>26</v>
      </c>
      <c r="T187" s="23"/>
      <c r="U187" s="11"/>
      <c r="V187" s="22">
        <v>-0.1</v>
      </c>
      <c r="W187" s="22">
        <v>-0.1</v>
      </c>
      <c r="X187" s="22">
        <v>-0.1</v>
      </c>
      <c r="Y187" s="27">
        <f t="shared" si="114"/>
        <v>0</v>
      </c>
      <c r="Z187" s="27">
        <f t="shared" si="115"/>
        <v>0</v>
      </c>
      <c r="AA187" s="38" t="s">
        <v>26</v>
      </c>
      <c r="AB187" s="23"/>
      <c r="AC187" s="11"/>
      <c r="AD187" s="22">
        <v>-0.1</v>
      </c>
      <c r="AE187" s="22">
        <v>-0.1</v>
      </c>
      <c r="AF187" s="22">
        <v>-0.1</v>
      </c>
      <c r="AG187" s="27">
        <f t="shared" si="116"/>
        <v>0</v>
      </c>
      <c r="AH187" s="27">
        <f t="shared" si="117"/>
        <v>0</v>
      </c>
      <c r="AI187" s="38" t="s">
        <v>26</v>
      </c>
      <c r="AJ187" s="23"/>
      <c r="AK187" s="11"/>
      <c r="AL187" s="22">
        <v>-0.1</v>
      </c>
      <c r="AM187" s="22">
        <v>-0.10100000000000001</v>
      </c>
      <c r="AN187" s="22">
        <v>-9.9000000000000005E-2</v>
      </c>
      <c r="AO187" s="27">
        <f t="shared" si="118"/>
        <v>1.0000000000000009E-2</v>
      </c>
      <c r="AP187" s="27">
        <f t="shared" si="119"/>
        <v>-1.0000000000000009E-2</v>
      </c>
      <c r="AQ187" s="38" t="s">
        <v>26</v>
      </c>
      <c r="AR187" s="23"/>
      <c r="AS187" s="11"/>
      <c r="AT187" s="12"/>
    </row>
    <row r="188" spans="2:46" customFormat="1" ht="28.8" x14ac:dyDescent="0.3">
      <c r="B188" s="10" t="s">
        <v>471</v>
      </c>
      <c r="C188" s="61"/>
      <c r="D188" s="8" t="s">
        <v>320</v>
      </c>
      <c r="E188" s="8" t="s">
        <v>320</v>
      </c>
      <c r="F188" s="8" t="s">
        <v>549</v>
      </c>
      <c r="G188" s="8" t="s">
        <v>326</v>
      </c>
      <c r="H188" s="38" t="s">
        <v>26</v>
      </c>
      <c r="I188" s="2"/>
      <c r="J188" s="4">
        <v>-0.1</v>
      </c>
      <c r="K188" s="4" t="s">
        <v>169</v>
      </c>
      <c r="L188" s="5">
        <v>2.5000000000000001E-2</v>
      </c>
      <c r="M188" s="2"/>
      <c r="N188" s="22">
        <v>-0.1</v>
      </c>
      <c r="O188" s="22">
        <v>-0.1</v>
      </c>
      <c r="P188" s="22">
        <v>-0.1</v>
      </c>
      <c r="Q188" s="27">
        <f t="shared" si="112"/>
        <v>0</v>
      </c>
      <c r="R188" s="27">
        <f t="shared" si="113"/>
        <v>0</v>
      </c>
      <c r="S188" s="38" t="s">
        <v>26</v>
      </c>
      <c r="T188" s="23"/>
      <c r="U188" s="11"/>
      <c r="V188" s="22">
        <v>-0.1</v>
      </c>
      <c r="W188" s="22">
        <v>-0.1</v>
      </c>
      <c r="X188" s="22">
        <v>-0.1</v>
      </c>
      <c r="Y188" s="27">
        <f t="shared" si="114"/>
        <v>0</v>
      </c>
      <c r="Z188" s="27">
        <f t="shared" si="115"/>
        <v>0</v>
      </c>
      <c r="AA188" s="38" t="s">
        <v>26</v>
      </c>
      <c r="AB188" s="23"/>
      <c r="AC188" s="11"/>
      <c r="AD188" s="22">
        <v>-0.1</v>
      </c>
      <c r="AE188" s="22">
        <v>-0.1</v>
      </c>
      <c r="AF188" s="22">
        <v>-0.1</v>
      </c>
      <c r="AG188" s="27">
        <f t="shared" si="116"/>
        <v>0</v>
      </c>
      <c r="AH188" s="27">
        <f t="shared" si="117"/>
        <v>0</v>
      </c>
      <c r="AI188" s="38" t="s">
        <v>26</v>
      </c>
      <c r="AJ188" s="23"/>
      <c r="AK188" s="11"/>
      <c r="AL188" s="22">
        <v>-0.1</v>
      </c>
      <c r="AM188" s="22">
        <v>-0.10100000000000001</v>
      </c>
      <c r="AN188" s="22">
        <v>-9.9000000000000005E-2</v>
      </c>
      <c r="AO188" s="27">
        <f t="shared" si="118"/>
        <v>1.0000000000000009E-2</v>
      </c>
      <c r="AP188" s="27">
        <f t="shared" si="119"/>
        <v>-1.0000000000000009E-2</v>
      </c>
      <c r="AQ188" s="38" t="s">
        <v>26</v>
      </c>
      <c r="AR188" s="23"/>
      <c r="AS188" s="11"/>
      <c r="AT188" s="12"/>
    </row>
    <row r="189" spans="2:46" customFormat="1" ht="28.8" x14ac:dyDescent="0.3">
      <c r="B189" s="10" t="s">
        <v>472</v>
      </c>
      <c r="C189" s="61"/>
      <c r="D189" s="8" t="s">
        <v>320</v>
      </c>
      <c r="E189" s="8" t="s">
        <v>320</v>
      </c>
      <c r="F189" s="8" t="s">
        <v>549</v>
      </c>
      <c r="G189" s="8" t="s">
        <v>328</v>
      </c>
      <c r="H189" s="38" t="s">
        <v>26</v>
      </c>
      <c r="I189" s="2"/>
      <c r="J189" s="4">
        <v>-0.1</v>
      </c>
      <c r="K189" s="4" t="s">
        <v>169</v>
      </c>
      <c r="L189" s="5">
        <v>2.5000000000000001E-2</v>
      </c>
      <c r="M189" s="2"/>
      <c r="N189" s="22">
        <v>-0.1</v>
      </c>
      <c r="O189" s="22">
        <v>-0.1</v>
      </c>
      <c r="P189" s="22">
        <v>-0.1</v>
      </c>
      <c r="Q189" s="27">
        <f t="shared" si="112"/>
        <v>0</v>
      </c>
      <c r="R189" s="27">
        <f t="shared" si="113"/>
        <v>0</v>
      </c>
      <c r="S189" s="38" t="s">
        <v>26</v>
      </c>
      <c r="T189" s="23"/>
      <c r="U189" s="11"/>
      <c r="V189" s="22">
        <v>-0.1</v>
      </c>
      <c r="W189" s="22">
        <v>-0.1</v>
      </c>
      <c r="X189" s="22">
        <v>-0.1</v>
      </c>
      <c r="Y189" s="27">
        <f t="shared" si="114"/>
        <v>0</v>
      </c>
      <c r="Z189" s="27">
        <f t="shared" si="115"/>
        <v>0</v>
      </c>
      <c r="AA189" s="38" t="s">
        <v>26</v>
      </c>
      <c r="AB189" s="23"/>
      <c r="AC189" s="11"/>
      <c r="AD189" s="22">
        <v>-0.1</v>
      </c>
      <c r="AE189" s="22">
        <v>-0.1</v>
      </c>
      <c r="AF189" s="22">
        <v>-0.1</v>
      </c>
      <c r="AG189" s="27">
        <f t="shared" si="116"/>
        <v>0</v>
      </c>
      <c r="AH189" s="27">
        <f t="shared" si="117"/>
        <v>0</v>
      </c>
      <c r="AI189" s="38" t="s">
        <v>26</v>
      </c>
      <c r="AJ189" s="23"/>
      <c r="AK189" s="11"/>
      <c r="AL189" s="22">
        <v>-0.1</v>
      </c>
      <c r="AM189" s="22">
        <v>-0.10100000000000001</v>
      </c>
      <c r="AN189" s="22">
        <v>-9.9000000000000005E-2</v>
      </c>
      <c r="AO189" s="27">
        <f t="shared" si="118"/>
        <v>1.0000000000000009E-2</v>
      </c>
      <c r="AP189" s="27">
        <f t="shared" si="119"/>
        <v>-1.0000000000000009E-2</v>
      </c>
      <c r="AQ189" s="38" t="s">
        <v>26</v>
      </c>
      <c r="AR189" s="23"/>
      <c r="AS189" s="11"/>
      <c r="AT189" s="12"/>
    </row>
    <row r="190" spans="2:46" customFormat="1" ht="28.8" x14ac:dyDescent="0.3">
      <c r="B190" s="10" t="s">
        <v>473</v>
      </c>
      <c r="C190" s="61"/>
      <c r="D190" s="8" t="s">
        <v>320</v>
      </c>
      <c r="E190" s="8" t="s">
        <v>320</v>
      </c>
      <c r="F190" s="8" t="s">
        <v>549</v>
      </c>
      <c r="G190" s="8" t="s">
        <v>330</v>
      </c>
      <c r="H190" s="38" t="s">
        <v>26</v>
      </c>
      <c r="I190" s="2"/>
      <c r="J190" s="4">
        <v>-0.1</v>
      </c>
      <c r="K190" s="4" t="s">
        <v>169</v>
      </c>
      <c r="L190" s="5">
        <v>2.5000000000000001E-2</v>
      </c>
      <c r="M190" s="2"/>
      <c r="N190" s="22">
        <v>-0.1</v>
      </c>
      <c r="O190" s="22">
        <v>-0.1</v>
      </c>
      <c r="P190" s="22">
        <v>-0.1</v>
      </c>
      <c r="Q190" s="27">
        <f t="shared" si="112"/>
        <v>0</v>
      </c>
      <c r="R190" s="27">
        <f t="shared" si="113"/>
        <v>0</v>
      </c>
      <c r="S190" s="38" t="s">
        <v>26</v>
      </c>
      <c r="T190" s="23"/>
      <c r="U190" s="11"/>
      <c r="V190" s="22">
        <v>-0.1</v>
      </c>
      <c r="W190" s="22">
        <v>-0.1</v>
      </c>
      <c r="X190" s="22">
        <v>-0.1</v>
      </c>
      <c r="Y190" s="27">
        <f t="shared" si="114"/>
        <v>0</v>
      </c>
      <c r="Z190" s="27">
        <f t="shared" si="115"/>
        <v>0</v>
      </c>
      <c r="AA190" s="38" t="s">
        <v>26</v>
      </c>
      <c r="AB190" s="23"/>
      <c r="AC190" s="11"/>
      <c r="AD190" s="22">
        <v>-0.1</v>
      </c>
      <c r="AE190" s="22">
        <v>-0.1</v>
      </c>
      <c r="AF190" s="22">
        <v>-0.1</v>
      </c>
      <c r="AG190" s="27">
        <f t="shared" si="116"/>
        <v>0</v>
      </c>
      <c r="AH190" s="27">
        <f t="shared" si="117"/>
        <v>0</v>
      </c>
      <c r="AI190" s="38" t="s">
        <v>26</v>
      </c>
      <c r="AJ190" s="23"/>
      <c r="AK190" s="11"/>
      <c r="AL190" s="22">
        <v>-0.1</v>
      </c>
      <c r="AM190" s="22">
        <v>-0.10100000000000001</v>
      </c>
      <c r="AN190" s="22">
        <v>-9.9000000000000005E-2</v>
      </c>
      <c r="AO190" s="27">
        <f t="shared" si="118"/>
        <v>1.0000000000000009E-2</v>
      </c>
      <c r="AP190" s="27">
        <f t="shared" si="119"/>
        <v>-1.0000000000000009E-2</v>
      </c>
      <c r="AQ190" s="38" t="s">
        <v>26</v>
      </c>
      <c r="AR190" s="23"/>
      <c r="AS190" s="11"/>
      <c r="AT190" s="12"/>
    </row>
    <row r="191" spans="2:46" customFormat="1" ht="28.8" x14ac:dyDescent="0.3">
      <c r="B191" s="10" t="s">
        <v>474</v>
      </c>
      <c r="C191" s="61"/>
      <c r="D191" s="8" t="s">
        <v>320</v>
      </c>
      <c r="E191" s="8" t="s">
        <v>320</v>
      </c>
      <c r="F191" s="8" t="s">
        <v>549</v>
      </c>
      <c r="G191" s="8" t="s">
        <v>332</v>
      </c>
      <c r="H191" s="38" t="s">
        <v>26</v>
      </c>
      <c r="I191" s="2"/>
      <c r="J191" s="4">
        <v>-0.1</v>
      </c>
      <c r="K191" s="4" t="s">
        <v>169</v>
      </c>
      <c r="L191" s="5">
        <v>2.5000000000000001E-2</v>
      </c>
      <c r="M191" s="2"/>
      <c r="N191" s="22">
        <v>-0.1</v>
      </c>
      <c r="O191" s="22">
        <v>-0.1</v>
      </c>
      <c r="P191" s="22">
        <v>-0.1</v>
      </c>
      <c r="Q191" s="27">
        <f t="shared" si="112"/>
        <v>0</v>
      </c>
      <c r="R191" s="27">
        <f t="shared" si="113"/>
        <v>0</v>
      </c>
      <c r="S191" s="38" t="s">
        <v>26</v>
      </c>
      <c r="T191" s="23"/>
      <c r="U191" s="11"/>
      <c r="V191" s="22">
        <v>-0.1</v>
      </c>
      <c r="W191" s="22">
        <v>-0.1</v>
      </c>
      <c r="X191" s="22">
        <v>-0.1</v>
      </c>
      <c r="Y191" s="27">
        <f t="shared" si="114"/>
        <v>0</v>
      </c>
      <c r="Z191" s="27">
        <f t="shared" si="115"/>
        <v>0</v>
      </c>
      <c r="AA191" s="38" t="s">
        <v>26</v>
      </c>
      <c r="AB191" s="23"/>
      <c r="AC191" s="11"/>
      <c r="AD191" s="22">
        <v>-0.1</v>
      </c>
      <c r="AE191" s="22">
        <v>-0.1</v>
      </c>
      <c r="AF191" s="22">
        <v>-0.1</v>
      </c>
      <c r="AG191" s="27">
        <f t="shared" si="116"/>
        <v>0</v>
      </c>
      <c r="AH191" s="27">
        <f t="shared" si="117"/>
        <v>0</v>
      </c>
      <c r="AI191" s="38" t="s">
        <v>26</v>
      </c>
      <c r="AJ191" s="23"/>
      <c r="AK191" s="11"/>
      <c r="AL191" s="22">
        <v>-0.1</v>
      </c>
      <c r="AM191" s="22">
        <v>-0.10100000000000001</v>
      </c>
      <c r="AN191" s="22">
        <v>-9.9000000000000005E-2</v>
      </c>
      <c r="AO191" s="27">
        <f t="shared" si="118"/>
        <v>1.0000000000000009E-2</v>
      </c>
      <c r="AP191" s="27">
        <f t="shared" si="119"/>
        <v>-1.0000000000000009E-2</v>
      </c>
      <c r="AQ191" s="38" t="s">
        <v>26</v>
      </c>
      <c r="AR191" s="23"/>
      <c r="AS191" s="11"/>
      <c r="AT191" s="12"/>
    </row>
    <row r="192" spans="2:46" customFormat="1" ht="28.8" x14ac:dyDescent="0.3">
      <c r="B192" s="10" t="s">
        <v>475</v>
      </c>
      <c r="C192" s="61"/>
      <c r="D192" s="8" t="s">
        <v>320</v>
      </c>
      <c r="E192" s="8" t="s">
        <v>320</v>
      </c>
      <c r="F192" s="8" t="s">
        <v>549</v>
      </c>
      <c r="G192" s="8" t="s">
        <v>334</v>
      </c>
      <c r="H192" s="38" t="s">
        <v>26</v>
      </c>
      <c r="I192" s="2"/>
      <c r="J192" s="4">
        <v>-0.1</v>
      </c>
      <c r="K192" s="4" t="s">
        <v>169</v>
      </c>
      <c r="L192" s="5">
        <v>2.5000000000000001E-2</v>
      </c>
      <c r="M192" s="2"/>
      <c r="N192" s="22">
        <v>-0.1</v>
      </c>
      <c r="O192" s="22">
        <v>-0.1</v>
      </c>
      <c r="P192" s="22">
        <v>-0.1</v>
      </c>
      <c r="Q192" s="27">
        <f t="shared" si="112"/>
        <v>0</v>
      </c>
      <c r="R192" s="27">
        <f t="shared" si="113"/>
        <v>0</v>
      </c>
      <c r="S192" s="38" t="s">
        <v>26</v>
      </c>
      <c r="T192" s="23"/>
      <c r="U192" s="11"/>
      <c r="V192" s="22">
        <v>-0.1</v>
      </c>
      <c r="W192" s="22">
        <v>-0.1</v>
      </c>
      <c r="X192" s="22">
        <v>-0.1</v>
      </c>
      <c r="Y192" s="27">
        <f t="shared" si="114"/>
        <v>0</v>
      </c>
      <c r="Z192" s="27">
        <f t="shared" si="115"/>
        <v>0</v>
      </c>
      <c r="AA192" s="38" t="s">
        <v>26</v>
      </c>
      <c r="AB192" s="23"/>
      <c r="AC192" s="11"/>
      <c r="AD192" s="22">
        <v>-0.1</v>
      </c>
      <c r="AE192" s="22">
        <v>-0.1</v>
      </c>
      <c r="AF192" s="22">
        <v>-0.1</v>
      </c>
      <c r="AG192" s="27">
        <f t="shared" si="116"/>
        <v>0</v>
      </c>
      <c r="AH192" s="27">
        <f t="shared" si="117"/>
        <v>0</v>
      </c>
      <c r="AI192" s="38" t="s">
        <v>26</v>
      </c>
      <c r="AJ192" s="23"/>
      <c r="AK192" s="11"/>
      <c r="AL192" s="22">
        <v>-0.1</v>
      </c>
      <c r="AM192" s="22">
        <v>-0.10100000000000001</v>
      </c>
      <c r="AN192" s="22">
        <v>-9.9000000000000005E-2</v>
      </c>
      <c r="AO192" s="27">
        <f t="shared" si="118"/>
        <v>1.0000000000000009E-2</v>
      </c>
      <c r="AP192" s="27">
        <f t="shared" si="119"/>
        <v>-1.0000000000000009E-2</v>
      </c>
      <c r="AQ192" s="38" t="s">
        <v>26</v>
      </c>
      <c r="AR192" s="23"/>
      <c r="AS192" s="11"/>
      <c r="AT192" s="12"/>
    </row>
    <row r="193" spans="2:46" customFormat="1" ht="28.8" x14ac:dyDescent="0.3">
      <c r="B193" s="10" t="s">
        <v>476</v>
      </c>
      <c r="C193" s="61"/>
      <c r="D193" s="8" t="s">
        <v>320</v>
      </c>
      <c r="E193" s="8" t="s">
        <v>320</v>
      </c>
      <c r="F193" s="8" t="s">
        <v>549</v>
      </c>
      <c r="G193" s="8" t="s">
        <v>336</v>
      </c>
      <c r="H193" s="38" t="s">
        <v>26</v>
      </c>
      <c r="I193" s="2"/>
      <c r="J193" s="4">
        <v>-0.1</v>
      </c>
      <c r="K193" s="4" t="s">
        <v>169</v>
      </c>
      <c r="L193" s="5">
        <v>2.5000000000000001E-2</v>
      </c>
      <c r="M193" s="2"/>
      <c r="N193" s="22">
        <v>-0.1</v>
      </c>
      <c r="O193" s="22">
        <v>-0.1</v>
      </c>
      <c r="P193" s="22">
        <v>-0.1</v>
      </c>
      <c r="Q193" s="27">
        <f t="shared" si="112"/>
        <v>0</v>
      </c>
      <c r="R193" s="27">
        <f t="shared" si="113"/>
        <v>0</v>
      </c>
      <c r="S193" s="38" t="s">
        <v>26</v>
      </c>
      <c r="T193" s="23"/>
      <c r="U193" s="11"/>
      <c r="V193" s="22">
        <v>-0.1</v>
      </c>
      <c r="W193" s="22">
        <v>-0.1</v>
      </c>
      <c r="X193" s="22">
        <v>-0.1</v>
      </c>
      <c r="Y193" s="27">
        <f t="shared" si="114"/>
        <v>0</v>
      </c>
      <c r="Z193" s="27">
        <f t="shared" si="115"/>
        <v>0</v>
      </c>
      <c r="AA193" s="38" t="s">
        <v>26</v>
      </c>
      <c r="AB193" s="23"/>
      <c r="AC193" s="11"/>
      <c r="AD193" s="22">
        <v>-0.1</v>
      </c>
      <c r="AE193" s="22">
        <v>-0.1</v>
      </c>
      <c r="AF193" s="22">
        <v>-0.1</v>
      </c>
      <c r="AG193" s="27">
        <f t="shared" si="116"/>
        <v>0</v>
      </c>
      <c r="AH193" s="27">
        <f t="shared" si="117"/>
        <v>0</v>
      </c>
      <c r="AI193" s="38" t="s">
        <v>26</v>
      </c>
      <c r="AJ193" s="23"/>
      <c r="AK193" s="11"/>
      <c r="AL193" s="22">
        <v>-0.1</v>
      </c>
      <c r="AM193" s="22">
        <v>-0.10100000000000001</v>
      </c>
      <c r="AN193" s="22">
        <v>-9.9000000000000005E-2</v>
      </c>
      <c r="AO193" s="27">
        <f t="shared" si="118"/>
        <v>1.0000000000000009E-2</v>
      </c>
      <c r="AP193" s="27">
        <f t="shared" si="119"/>
        <v>-1.0000000000000009E-2</v>
      </c>
      <c r="AQ193" s="38" t="s">
        <v>26</v>
      </c>
      <c r="AR193" s="23"/>
      <c r="AS193" s="11"/>
      <c r="AT193" s="12"/>
    </row>
    <row r="194" spans="2:46" customFormat="1" ht="28.8" x14ac:dyDescent="0.3">
      <c r="B194" s="10" t="s">
        <v>477</v>
      </c>
      <c r="C194" s="61"/>
      <c r="D194" s="8" t="s">
        <v>320</v>
      </c>
      <c r="E194" s="8" t="s">
        <v>320</v>
      </c>
      <c r="F194" s="8" t="s">
        <v>549</v>
      </c>
      <c r="G194" s="8" t="s">
        <v>338</v>
      </c>
      <c r="H194" s="38" t="s">
        <v>26</v>
      </c>
      <c r="I194" s="2"/>
      <c r="J194" s="4">
        <v>-0.1</v>
      </c>
      <c r="K194" s="4" t="s">
        <v>169</v>
      </c>
      <c r="L194" s="5">
        <v>2.5000000000000001E-2</v>
      </c>
      <c r="M194" s="2"/>
      <c r="N194" s="22">
        <v>-0.1</v>
      </c>
      <c r="O194" s="22">
        <v>-0.1</v>
      </c>
      <c r="P194" s="22">
        <v>-0.1</v>
      </c>
      <c r="Q194" s="27">
        <f t="shared" si="112"/>
        <v>0</v>
      </c>
      <c r="R194" s="27">
        <f t="shared" si="113"/>
        <v>0</v>
      </c>
      <c r="S194" s="38" t="s">
        <v>26</v>
      </c>
      <c r="T194" s="23"/>
      <c r="U194" s="11"/>
      <c r="V194" s="22">
        <v>-0.1</v>
      </c>
      <c r="W194" s="22">
        <v>-0.1</v>
      </c>
      <c r="X194" s="22">
        <v>-0.1</v>
      </c>
      <c r="Y194" s="27">
        <f t="shared" si="114"/>
        <v>0</v>
      </c>
      <c r="Z194" s="27">
        <f t="shared" si="115"/>
        <v>0</v>
      </c>
      <c r="AA194" s="38" t="s">
        <v>26</v>
      </c>
      <c r="AB194" s="23"/>
      <c r="AC194" s="11"/>
      <c r="AD194" s="22">
        <v>-0.1</v>
      </c>
      <c r="AE194" s="22">
        <v>-0.1</v>
      </c>
      <c r="AF194" s="22">
        <v>-0.1</v>
      </c>
      <c r="AG194" s="27">
        <f t="shared" si="116"/>
        <v>0</v>
      </c>
      <c r="AH194" s="27">
        <f t="shared" si="117"/>
        <v>0</v>
      </c>
      <c r="AI194" s="38" t="s">
        <v>26</v>
      </c>
      <c r="AJ194" s="23"/>
      <c r="AK194" s="11"/>
      <c r="AL194" s="22">
        <v>-0.1</v>
      </c>
      <c r="AM194" s="22">
        <v>-0.10100000000000001</v>
      </c>
      <c r="AN194" s="22">
        <v>-9.9000000000000005E-2</v>
      </c>
      <c r="AO194" s="27">
        <f t="shared" si="118"/>
        <v>1.0000000000000009E-2</v>
      </c>
      <c r="AP194" s="27">
        <f t="shared" si="119"/>
        <v>-1.0000000000000009E-2</v>
      </c>
      <c r="AQ194" s="38" t="s">
        <v>26</v>
      </c>
      <c r="AR194" s="23"/>
      <c r="AS194" s="11"/>
      <c r="AT194" s="12"/>
    </row>
    <row r="195" spans="2:46" customFormat="1" ht="28.8" x14ac:dyDescent="0.3">
      <c r="B195" s="10" t="s">
        <v>478</v>
      </c>
      <c r="C195" s="61"/>
      <c r="D195" s="8" t="s">
        <v>320</v>
      </c>
      <c r="E195" s="8" t="s">
        <v>320</v>
      </c>
      <c r="F195" s="8" t="s">
        <v>550</v>
      </c>
      <c r="G195" s="8" t="s">
        <v>323</v>
      </c>
      <c r="H195" s="38" t="s">
        <v>26</v>
      </c>
      <c r="I195" s="2"/>
      <c r="J195" s="4">
        <v>0.5</v>
      </c>
      <c r="K195" s="4" t="s">
        <v>169</v>
      </c>
      <c r="L195" s="5">
        <v>5.7999999999999996E-3</v>
      </c>
      <c r="M195" s="2"/>
      <c r="N195" s="22">
        <v>0.5</v>
      </c>
      <c r="O195" s="22">
        <v>0.5</v>
      </c>
      <c r="P195" s="22">
        <v>0.501</v>
      </c>
      <c r="Q195" s="27">
        <f t="shared" si="112"/>
        <v>0</v>
      </c>
      <c r="R195" s="27">
        <f t="shared" si="113"/>
        <v>2.0000000000000018E-3</v>
      </c>
      <c r="S195" s="38" t="s">
        <v>26</v>
      </c>
      <c r="T195" s="23"/>
      <c r="U195" s="11"/>
      <c r="V195" s="22">
        <v>0.5</v>
      </c>
      <c r="W195" s="22">
        <v>0.5</v>
      </c>
      <c r="X195" s="22">
        <v>0.5</v>
      </c>
      <c r="Y195" s="27">
        <f t="shared" si="114"/>
        <v>0</v>
      </c>
      <c r="Z195" s="27">
        <f t="shared" si="115"/>
        <v>0</v>
      </c>
      <c r="AA195" s="38" t="s">
        <v>26</v>
      </c>
      <c r="AB195" s="23"/>
      <c r="AC195" s="11"/>
      <c r="AD195" s="22">
        <v>0.5</v>
      </c>
      <c r="AE195" s="22">
        <v>0.5</v>
      </c>
      <c r="AF195" s="22">
        <v>0.5</v>
      </c>
      <c r="AG195" s="27">
        <f t="shared" si="116"/>
        <v>0</v>
      </c>
      <c r="AH195" s="27">
        <f t="shared" si="117"/>
        <v>0</v>
      </c>
      <c r="AI195" s="38" t="s">
        <v>26</v>
      </c>
      <c r="AJ195" s="23"/>
      <c r="AK195" s="11"/>
      <c r="AL195" s="22">
        <v>0.5</v>
      </c>
      <c r="AM195" s="22">
        <v>0.499</v>
      </c>
      <c r="AN195" s="22">
        <v>0.501</v>
      </c>
      <c r="AO195" s="27">
        <f t="shared" si="118"/>
        <v>-2.0000000000000018E-3</v>
      </c>
      <c r="AP195" s="27">
        <f t="shared" si="119"/>
        <v>2.0000000000000018E-3</v>
      </c>
      <c r="AQ195" s="38" t="s">
        <v>26</v>
      </c>
      <c r="AR195" s="22">
        <f>MIN(AM195:AN202)</f>
        <v>0.499</v>
      </c>
      <c r="AS195" s="11"/>
      <c r="AT195" s="12"/>
    </row>
    <row r="196" spans="2:46" customFormat="1" ht="28.8" x14ac:dyDescent="0.3">
      <c r="B196" s="10" t="s">
        <v>479</v>
      </c>
      <c r="C196" s="61"/>
      <c r="D196" s="8" t="s">
        <v>320</v>
      </c>
      <c r="E196" s="8" t="s">
        <v>320</v>
      </c>
      <c r="F196" s="8" t="s">
        <v>550</v>
      </c>
      <c r="G196" s="8" t="s">
        <v>325</v>
      </c>
      <c r="H196" s="38" t="s">
        <v>26</v>
      </c>
      <c r="I196" s="2"/>
      <c r="J196" s="4">
        <v>0.5</v>
      </c>
      <c r="K196" s="4" t="s">
        <v>169</v>
      </c>
      <c r="L196" s="5">
        <v>5.7999999999999996E-3</v>
      </c>
      <c r="M196" s="2"/>
      <c r="N196" s="22">
        <v>0.5</v>
      </c>
      <c r="O196" s="22">
        <v>0.5</v>
      </c>
      <c r="P196" s="22">
        <v>0.501</v>
      </c>
      <c r="Q196" s="27">
        <f t="shared" si="112"/>
        <v>0</v>
      </c>
      <c r="R196" s="27">
        <f t="shared" si="113"/>
        <v>2.0000000000000018E-3</v>
      </c>
      <c r="S196" s="38" t="s">
        <v>26</v>
      </c>
      <c r="T196" s="23"/>
      <c r="U196" s="11"/>
      <c r="V196" s="22">
        <v>0.5</v>
      </c>
      <c r="W196" s="22">
        <v>0.5</v>
      </c>
      <c r="X196" s="22">
        <v>0.5</v>
      </c>
      <c r="Y196" s="27">
        <f t="shared" si="114"/>
        <v>0</v>
      </c>
      <c r="Z196" s="27">
        <f t="shared" si="115"/>
        <v>0</v>
      </c>
      <c r="AA196" s="38" t="s">
        <v>26</v>
      </c>
      <c r="AB196" s="23"/>
      <c r="AC196" s="11"/>
      <c r="AD196" s="22">
        <v>0.5</v>
      </c>
      <c r="AE196" s="22">
        <v>0.5</v>
      </c>
      <c r="AF196" s="22">
        <v>0.5</v>
      </c>
      <c r="AG196" s="27">
        <f t="shared" si="116"/>
        <v>0</v>
      </c>
      <c r="AH196" s="27">
        <f t="shared" si="117"/>
        <v>0</v>
      </c>
      <c r="AI196" s="38" t="s">
        <v>26</v>
      </c>
      <c r="AJ196" s="23"/>
      <c r="AK196" s="11"/>
      <c r="AL196" s="22">
        <v>0.5</v>
      </c>
      <c r="AM196" s="22">
        <v>0.499</v>
      </c>
      <c r="AN196" s="22">
        <v>0.501</v>
      </c>
      <c r="AO196" s="27">
        <f t="shared" si="118"/>
        <v>-2.0000000000000018E-3</v>
      </c>
      <c r="AP196" s="27">
        <f t="shared" si="119"/>
        <v>2.0000000000000018E-3</v>
      </c>
      <c r="AQ196" s="38" t="s">
        <v>26</v>
      </c>
      <c r="AR196" s="22">
        <f>MAX(AM195:AN202)</f>
        <v>0.502</v>
      </c>
      <c r="AS196" s="11"/>
      <c r="AT196" s="12"/>
    </row>
    <row r="197" spans="2:46" customFormat="1" ht="28.8" x14ac:dyDescent="0.3">
      <c r="B197" s="10" t="s">
        <v>480</v>
      </c>
      <c r="C197" s="61"/>
      <c r="D197" s="8" t="s">
        <v>320</v>
      </c>
      <c r="E197" s="8" t="s">
        <v>320</v>
      </c>
      <c r="F197" s="8" t="s">
        <v>550</v>
      </c>
      <c r="G197" s="8" t="s">
        <v>327</v>
      </c>
      <c r="H197" s="38" t="s">
        <v>26</v>
      </c>
      <c r="I197" s="2"/>
      <c r="J197" s="4">
        <v>0.5</v>
      </c>
      <c r="K197" s="4" t="s">
        <v>169</v>
      </c>
      <c r="L197" s="5">
        <v>5.7999999999999996E-3</v>
      </c>
      <c r="M197" s="2"/>
      <c r="N197" s="22">
        <v>0.5</v>
      </c>
      <c r="O197" s="22">
        <v>0.5</v>
      </c>
      <c r="P197" s="22">
        <v>0.501</v>
      </c>
      <c r="Q197" s="27">
        <f t="shared" si="112"/>
        <v>0</v>
      </c>
      <c r="R197" s="27">
        <f t="shared" si="113"/>
        <v>2.0000000000000018E-3</v>
      </c>
      <c r="S197" s="38" t="s">
        <v>26</v>
      </c>
      <c r="T197" s="23"/>
      <c r="U197" s="11"/>
      <c r="V197" s="22">
        <v>0.5</v>
      </c>
      <c r="W197" s="22">
        <v>0.5</v>
      </c>
      <c r="X197" s="22">
        <v>0.5</v>
      </c>
      <c r="Y197" s="27">
        <f t="shared" si="114"/>
        <v>0</v>
      </c>
      <c r="Z197" s="27">
        <f t="shared" si="115"/>
        <v>0</v>
      </c>
      <c r="AA197" s="38" t="s">
        <v>26</v>
      </c>
      <c r="AB197" s="23"/>
      <c r="AC197" s="11"/>
      <c r="AD197" s="22">
        <v>0.5</v>
      </c>
      <c r="AE197" s="22">
        <v>0.5</v>
      </c>
      <c r="AF197" s="22">
        <v>0.5</v>
      </c>
      <c r="AG197" s="27">
        <f t="shared" si="116"/>
        <v>0</v>
      </c>
      <c r="AH197" s="27">
        <f t="shared" si="117"/>
        <v>0</v>
      </c>
      <c r="AI197" s="38" t="s">
        <v>26</v>
      </c>
      <c r="AJ197" s="23"/>
      <c r="AK197" s="11"/>
      <c r="AL197" s="22">
        <v>0.5</v>
      </c>
      <c r="AM197" s="22">
        <v>0.5</v>
      </c>
      <c r="AN197" s="22">
        <v>0.501</v>
      </c>
      <c r="AO197" s="27">
        <f t="shared" si="118"/>
        <v>0</v>
      </c>
      <c r="AP197" s="27">
        <f t="shared" si="119"/>
        <v>2.0000000000000018E-3</v>
      </c>
      <c r="AQ197" s="38" t="s">
        <v>26</v>
      </c>
      <c r="AR197" s="23"/>
      <c r="AS197" s="11"/>
      <c r="AT197" s="12"/>
    </row>
    <row r="198" spans="2:46" customFormat="1" ht="28.8" x14ac:dyDescent="0.3">
      <c r="B198" s="10" t="s">
        <v>481</v>
      </c>
      <c r="C198" s="61"/>
      <c r="D198" s="8" t="s">
        <v>320</v>
      </c>
      <c r="E198" s="8" t="s">
        <v>320</v>
      </c>
      <c r="F198" s="8" t="s">
        <v>550</v>
      </c>
      <c r="G198" s="8" t="s">
        <v>329</v>
      </c>
      <c r="H198" s="38" t="s">
        <v>26</v>
      </c>
      <c r="I198" s="2"/>
      <c r="J198" s="4">
        <v>0.5</v>
      </c>
      <c r="K198" s="4" t="s">
        <v>169</v>
      </c>
      <c r="L198" s="5">
        <v>5.7999999999999996E-3</v>
      </c>
      <c r="M198" s="2"/>
      <c r="N198" s="22">
        <v>0.5</v>
      </c>
      <c r="O198" s="22">
        <v>0.5</v>
      </c>
      <c r="P198" s="22">
        <v>0.501</v>
      </c>
      <c r="Q198" s="27">
        <f t="shared" si="112"/>
        <v>0</v>
      </c>
      <c r="R198" s="27">
        <f t="shared" si="113"/>
        <v>2.0000000000000018E-3</v>
      </c>
      <c r="S198" s="38" t="s">
        <v>26</v>
      </c>
      <c r="T198" s="23"/>
      <c r="U198" s="11"/>
      <c r="V198" s="22">
        <v>0.5</v>
      </c>
      <c r="W198" s="22">
        <v>0.5</v>
      </c>
      <c r="X198" s="22">
        <v>0.5</v>
      </c>
      <c r="Y198" s="27">
        <f t="shared" si="114"/>
        <v>0</v>
      </c>
      <c r="Z198" s="27">
        <f t="shared" si="115"/>
        <v>0</v>
      </c>
      <c r="AA198" s="38" t="s">
        <v>26</v>
      </c>
      <c r="AB198" s="23"/>
      <c r="AC198" s="11"/>
      <c r="AD198" s="22">
        <v>0.5</v>
      </c>
      <c r="AE198" s="22">
        <v>0.5</v>
      </c>
      <c r="AF198" s="22">
        <v>0.5</v>
      </c>
      <c r="AG198" s="27">
        <f t="shared" si="116"/>
        <v>0</v>
      </c>
      <c r="AH198" s="27">
        <f t="shared" si="117"/>
        <v>0</v>
      </c>
      <c r="AI198" s="38" t="s">
        <v>26</v>
      </c>
      <c r="AJ198" s="23"/>
      <c r="AK198" s="11"/>
      <c r="AL198" s="22">
        <v>0.5</v>
      </c>
      <c r="AM198" s="22">
        <v>0.5</v>
      </c>
      <c r="AN198" s="22">
        <v>0.502</v>
      </c>
      <c r="AO198" s="27">
        <f t="shared" si="118"/>
        <v>0</v>
      </c>
      <c r="AP198" s="27">
        <f t="shared" si="119"/>
        <v>4.0000000000000036E-3</v>
      </c>
      <c r="AQ198" s="38" t="s">
        <v>26</v>
      </c>
      <c r="AR198" s="23"/>
      <c r="AS198" s="11"/>
      <c r="AT198" s="12"/>
    </row>
    <row r="199" spans="2:46" customFormat="1" ht="28.8" x14ac:dyDescent="0.3">
      <c r="B199" s="10" t="s">
        <v>482</v>
      </c>
      <c r="C199" s="61"/>
      <c r="D199" s="8" t="s">
        <v>320</v>
      </c>
      <c r="E199" s="8" t="s">
        <v>320</v>
      </c>
      <c r="F199" s="8" t="s">
        <v>550</v>
      </c>
      <c r="G199" s="8" t="s">
        <v>331</v>
      </c>
      <c r="H199" s="38" t="s">
        <v>26</v>
      </c>
      <c r="I199" s="2"/>
      <c r="J199" s="4">
        <v>0.5</v>
      </c>
      <c r="K199" s="4" t="s">
        <v>169</v>
      </c>
      <c r="L199" s="5">
        <v>5.7999999999999996E-3</v>
      </c>
      <c r="M199" s="2"/>
      <c r="N199" s="22">
        <v>0.5</v>
      </c>
      <c r="O199" s="22">
        <v>0.5</v>
      </c>
      <c r="P199" s="22">
        <v>0.501</v>
      </c>
      <c r="Q199" s="27">
        <f t="shared" si="112"/>
        <v>0</v>
      </c>
      <c r="R199" s="27">
        <f t="shared" si="113"/>
        <v>2.0000000000000018E-3</v>
      </c>
      <c r="S199" s="38" t="s">
        <v>26</v>
      </c>
      <c r="T199" s="23"/>
      <c r="U199" s="11"/>
      <c r="V199" s="22">
        <v>0.5</v>
      </c>
      <c r="W199" s="22">
        <v>0.5</v>
      </c>
      <c r="X199" s="22">
        <v>0.501</v>
      </c>
      <c r="Y199" s="27">
        <f t="shared" si="114"/>
        <v>0</v>
      </c>
      <c r="Z199" s="27">
        <f t="shared" si="115"/>
        <v>2.0000000000000018E-3</v>
      </c>
      <c r="AA199" s="38" t="s">
        <v>26</v>
      </c>
      <c r="AB199" s="23"/>
      <c r="AC199" s="11"/>
      <c r="AD199" s="22">
        <v>0.5</v>
      </c>
      <c r="AE199" s="22">
        <v>0.5</v>
      </c>
      <c r="AF199" s="22">
        <v>0.501</v>
      </c>
      <c r="AG199" s="27">
        <f t="shared" si="116"/>
        <v>0</v>
      </c>
      <c r="AH199" s="27">
        <f t="shared" si="117"/>
        <v>2.0000000000000018E-3</v>
      </c>
      <c r="AI199" s="38" t="s">
        <v>26</v>
      </c>
      <c r="AJ199" s="23"/>
      <c r="AK199" s="11"/>
      <c r="AL199" s="22">
        <v>0.5</v>
      </c>
      <c r="AM199" s="22">
        <v>0.5</v>
      </c>
      <c r="AN199" s="22">
        <v>0.501</v>
      </c>
      <c r="AO199" s="27">
        <f t="shared" si="118"/>
        <v>0</v>
      </c>
      <c r="AP199" s="27">
        <f t="shared" si="119"/>
        <v>2.0000000000000018E-3</v>
      </c>
      <c r="AQ199" s="38" t="s">
        <v>26</v>
      </c>
      <c r="AR199" s="23"/>
      <c r="AS199" s="11"/>
      <c r="AT199" s="12"/>
    </row>
    <row r="200" spans="2:46" customFormat="1" ht="28.8" x14ac:dyDescent="0.3">
      <c r="B200" s="10" t="s">
        <v>483</v>
      </c>
      <c r="C200" s="61"/>
      <c r="D200" s="8" t="s">
        <v>320</v>
      </c>
      <c r="E200" s="8" t="s">
        <v>320</v>
      </c>
      <c r="F200" s="8" t="s">
        <v>550</v>
      </c>
      <c r="G200" s="8" t="s">
        <v>333</v>
      </c>
      <c r="H200" s="38" t="s">
        <v>26</v>
      </c>
      <c r="I200" s="2"/>
      <c r="J200" s="4">
        <v>0.5</v>
      </c>
      <c r="K200" s="4" t="s">
        <v>169</v>
      </c>
      <c r="L200" s="5">
        <v>5.7999999999999996E-3</v>
      </c>
      <c r="M200" s="2"/>
      <c r="N200" s="22">
        <v>0.5</v>
      </c>
      <c r="O200" s="22">
        <v>0.5</v>
      </c>
      <c r="P200" s="22">
        <v>0.501</v>
      </c>
      <c r="Q200" s="27">
        <f t="shared" si="112"/>
        <v>0</v>
      </c>
      <c r="R200" s="27">
        <f t="shared" si="113"/>
        <v>2.0000000000000018E-3</v>
      </c>
      <c r="S200" s="38" t="s">
        <v>26</v>
      </c>
      <c r="T200" s="23"/>
      <c r="U200" s="11"/>
      <c r="V200" s="22">
        <v>0.5</v>
      </c>
      <c r="W200" s="22">
        <v>0.5</v>
      </c>
      <c r="X200" s="22">
        <v>0.5</v>
      </c>
      <c r="Y200" s="27">
        <f t="shared" si="114"/>
        <v>0</v>
      </c>
      <c r="Z200" s="27">
        <f t="shared" si="115"/>
        <v>0</v>
      </c>
      <c r="AA200" s="38" t="s">
        <v>26</v>
      </c>
      <c r="AB200" s="23"/>
      <c r="AC200" s="11"/>
      <c r="AD200" s="22">
        <v>0.5</v>
      </c>
      <c r="AE200" s="22">
        <v>0.5</v>
      </c>
      <c r="AF200" s="22">
        <v>0.5</v>
      </c>
      <c r="AG200" s="27">
        <f t="shared" si="116"/>
        <v>0</v>
      </c>
      <c r="AH200" s="27">
        <f t="shared" si="117"/>
        <v>0</v>
      </c>
      <c r="AI200" s="38" t="s">
        <v>26</v>
      </c>
      <c r="AJ200" s="23"/>
      <c r="AK200" s="11"/>
      <c r="AL200" s="22">
        <v>0.5</v>
      </c>
      <c r="AM200" s="22">
        <v>0.5</v>
      </c>
      <c r="AN200" s="22">
        <v>0.502</v>
      </c>
      <c r="AO200" s="27">
        <f t="shared" si="118"/>
        <v>0</v>
      </c>
      <c r="AP200" s="27">
        <f t="shared" si="119"/>
        <v>4.0000000000000036E-3</v>
      </c>
      <c r="AQ200" s="38" t="s">
        <v>26</v>
      </c>
      <c r="AR200" s="23"/>
      <c r="AS200" s="11"/>
      <c r="AT200" s="12"/>
    </row>
    <row r="201" spans="2:46" customFormat="1" ht="28.8" x14ac:dyDescent="0.3">
      <c r="B201" s="10" t="s">
        <v>484</v>
      </c>
      <c r="C201" s="61"/>
      <c r="D201" s="8" t="s">
        <v>320</v>
      </c>
      <c r="E201" s="8" t="s">
        <v>320</v>
      </c>
      <c r="F201" s="8" t="s">
        <v>550</v>
      </c>
      <c r="G201" s="8" t="s">
        <v>335</v>
      </c>
      <c r="H201" s="38" t="s">
        <v>26</v>
      </c>
      <c r="I201" s="2"/>
      <c r="J201" s="4">
        <v>0.5</v>
      </c>
      <c r="K201" s="4" t="s">
        <v>169</v>
      </c>
      <c r="L201" s="5">
        <v>5.7999999999999996E-3</v>
      </c>
      <c r="M201" s="2"/>
      <c r="N201" s="22">
        <v>0.5</v>
      </c>
      <c r="O201" s="22">
        <v>0.5</v>
      </c>
      <c r="P201" s="22">
        <v>0.501</v>
      </c>
      <c r="Q201" s="27">
        <f t="shared" si="112"/>
        <v>0</v>
      </c>
      <c r="R201" s="27">
        <f t="shared" si="113"/>
        <v>2.0000000000000018E-3</v>
      </c>
      <c r="S201" s="38" t="s">
        <v>26</v>
      </c>
      <c r="T201" s="23"/>
      <c r="U201" s="11"/>
      <c r="V201" s="22">
        <v>0.5</v>
      </c>
      <c r="W201" s="22">
        <v>0.5</v>
      </c>
      <c r="X201" s="22">
        <v>0.5</v>
      </c>
      <c r="Y201" s="27">
        <f t="shared" si="114"/>
        <v>0</v>
      </c>
      <c r="Z201" s="27">
        <f t="shared" si="115"/>
        <v>0</v>
      </c>
      <c r="AA201" s="38" t="s">
        <v>26</v>
      </c>
      <c r="AB201" s="23"/>
      <c r="AC201" s="11"/>
      <c r="AD201" s="22">
        <v>0.5</v>
      </c>
      <c r="AE201" s="22">
        <v>0.5</v>
      </c>
      <c r="AF201" s="22">
        <v>0.5</v>
      </c>
      <c r="AG201" s="27">
        <f t="shared" si="116"/>
        <v>0</v>
      </c>
      <c r="AH201" s="27">
        <f t="shared" si="117"/>
        <v>0</v>
      </c>
      <c r="AI201" s="38" t="s">
        <v>26</v>
      </c>
      <c r="AJ201" s="23"/>
      <c r="AK201" s="11"/>
      <c r="AL201" s="22">
        <v>0.5</v>
      </c>
      <c r="AM201" s="22">
        <v>0.499</v>
      </c>
      <c r="AN201" s="22">
        <v>0.501</v>
      </c>
      <c r="AO201" s="27">
        <f t="shared" si="118"/>
        <v>-2.0000000000000018E-3</v>
      </c>
      <c r="AP201" s="27">
        <f t="shared" si="119"/>
        <v>2.0000000000000018E-3</v>
      </c>
      <c r="AQ201" s="38" t="s">
        <v>26</v>
      </c>
      <c r="AR201" s="23"/>
      <c r="AS201" s="11"/>
      <c r="AT201" s="12"/>
    </row>
    <row r="202" spans="2:46" customFormat="1" ht="28.8" x14ac:dyDescent="0.3">
      <c r="B202" s="10" t="s">
        <v>485</v>
      </c>
      <c r="C202" s="61"/>
      <c r="D202" s="8" t="s">
        <v>320</v>
      </c>
      <c r="E202" s="8" t="s">
        <v>320</v>
      </c>
      <c r="F202" s="8" t="s">
        <v>550</v>
      </c>
      <c r="G202" s="8" t="s">
        <v>337</v>
      </c>
      <c r="H202" s="38" t="s">
        <v>26</v>
      </c>
      <c r="I202" s="2"/>
      <c r="J202" s="4">
        <v>0.5</v>
      </c>
      <c r="K202" s="4" t="s">
        <v>169</v>
      </c>
      <c r="L202" s="5">
        <v>5.7999999999999996E-3</v>
      </c>
      <c r="M202" s="2"/>
      <c r="N202" s="22">
        <v>0.5</v>
      </c>
      <c r="O202" s="22">
        <v>0.5</v>
      </c>
      <c r="P202" s="22">
        <v>0.501</v>
      </c>
      <c r="Q202" s="27">
        <f t="shared" si="112"/>
        <v>0</v>
      </c>
      <c r="R202" s="27">
        <f t="shared" si="113"/>
        <v>2.0000000000000018E-3</v>
      </c>
      <c r="S202" s="38" t="s">
        <v>26</v>
      </c>
      <c r="T202" s="23"/>
      <c r="U202" s="11"/>
      <c r="V202" s="22">
        <v>0.5</v>
      </c>
      <c r="W202" s="22">
        <v>0.5</v>
      </c>
      <c r="X202" s="22">
        <v>0.5</v>
      </c>
      <c r="Y202" s="27">
        <f t="shared" si="114"/>
        <v>0</v>
      </c>
      <c r="Z202" s="27">
        <f t="shared" si="115"/>
        <v>0</v>
      </c>
      <c r="AA202" s="38" t="s">
        <v>26</v>
      </c>
      <c r="AB202" s="23"/>
      <c r="AC202" s="11"/>
      <c r="AD202" s="22">
        <v>0.5</v>
      </c>
      <c r="AE202" s="22">
        <v>0.5</v>
      </c>
      <c r="AF202" s="22">
        <v>0.5</v>
      </c>
      <c r="AG202" s="27">
        <f t="shared" si="116"/>
        <v>0</v>
      </c>
      <c r="AH202" s="27">
        <f t="shared" si="117"/>
        <v>0</v>
      </c>
      <c r="AI202" s="38" t="s">
        <v>26</v>
      </c>
      <c r="AJ202" s="23"/>
      <c r="AK202" s="11"/>
      <c r="AL202" s="22">
        <v>0.5</v>
      </c>
      <c r="AM202" s="22">
        <v>0.5</v>
      </c>
      <c r="AN202" s="22">
        <v>0.501</v>
      </c>
      <c r="AO202" s="27">
        <f t="shared" si="118"/>
        <v>0</v>
      </c>
      <c r="AP202" s="27">
        <f t="shared" si="119"/>
        <v>2.0000000000000018E-3</v>
      </c>
      <c r="AQ202" s="38" t="s">
        <v>26</v>
      </c>
      <c r="AR202" s="23"/>
      <c r="AS202" s="11"/>
      <c r="AT202" s="12"/>
    </row>
    <row r="203" spans="2:46" customFormat="1" ht="28.8" x14ac:dyDescent="0.3">
      <c r="B203" s="10" t="s">
        <v>486</v>
      </c>
      <c r="C203" s="61"/>
      <c r="D203" s="8" t="s">
        <v>320</v>
      </c>
      <c r="E203" s="8" t="s">
        <v>320</v>
      </c>
      <c r="F203" s="8" t="s">
        <v>550</v>
      </c>
      <c r="G203" s="8" t="s">
        <v>324</v>
      </c>
      <c r="H203" s="38" t="s">
        <v>26</v>
      </c>
      <c r="I203" s="2"/>
      <c r="J203" s="4">
        <v>-0.5</v>
      </c>
      <c r="K203" s="4" t="s">
        <v>169</v>
      </c>
      <c r="L203" s="5">
        <v>5.7999999999999996E-3</v>
      </c>
      <c r="M203" s="2"/>
      <c r="N203" s="22">
        <v>-0.5</v>
      </c>
      <c r="O203" s="22">
        <v>-0.5</v>
      </c>
      <c r="P203" s="22">
        <v>-0.5</v>
      </c>
      <c r="Q203" s="27">
        <f t="shared" si="112"/>
        <v>0</v>
      </c>
      <c r="R203" s="27">
        <f t="shared" si="113"/>
        <v>0</v>
      </c>
      <c r="S203" s="38" t="s">
        <v>26</v>
      </c>
      <c r="T203" s="23"/>
      <c r="U203" s="11"/>
      <c r="V203" s="22">
        <v>-0.5</v>
      </c>
      <c r="W203" s="22">
        <v>-0.501</v>
      </c>
      <c r="X203" s="22">
        <v>-0.5</v>
      </c>
      <c r="Y203" s="27">
        <f t="shared" si="114"/>
        <v>2.0000000000000018E-3</v>
      </c>
      <c r="Z203" s="27">
        <f t="shared" si="115"/>
        <v>0</v>
      </c>
      <c r="AA203" s="38" t="s">
        <v>26</v>
      </c>
      <c r="AB203" s="23"/>
      <c r="AC203" s="11"/>
      <c r="AD203" s="22">
        <v>-0.5</v>
      </c>
      <c r="AE203" s="22">
        <v>-0.501</v>
      </c>
      <c r="AF203" s="22">
        <v>-0.5</v>
      </c>
      <c r="AG203" s="27">
        <f t="shared" si="116"/>
        <v>2.0000000000000018E-3</v>
      </c>
      <c r="AH203" s="27">
        <f t="shared" si="117"/>
        <v>0</v>
      </c>
      <c r="AI203" s="38" t="s">
        <v>26</v>
      </c>
      <c r="AJ203" s="23"/>
      <c r="AK203" s="11"/>
      <c r="AL203" s="22">
        <v>-0.5</v>
      </c>
      <c r="AM203" s="22">
        <v>-0.502</v>
      </c>
      <c r="AN203" s="22">
        <v>-0.5</v>
      </c>
      <c r="AO203" s="27">
        <f t="shared" si="118"/>
        <v>4.0000000000000036E-3</v>
      </c>
      <c r="AP203" s="27">
        <f t="shared" si="119"/>
        <v>0</v>
      </c>
      <c r="AQ203" s="38" t="s">
        <v>26</v>
      </c>
      <c r="AR203" s="23"/>
      <c r="AS203" s="11"/>
      <c r="AT203" s="12"/>
    </row>
    <row r="204" spans="2:46" customFormat="1" ht="28.8" x14ac:dyDescent="0.3">
      <c r="B204" s="10" t="s">
        <v>487</v>
      </c>
      <c r="C204" s="61"/>
      <c r="D204" s="8" t="s">
        <v>320</v>
      </c>
      <c r="E204" s="8" t="s">
        <v>320</v>
      </c>
      <c r="F204" s="8" t="s">
        <v>550</v>
      </c>
      <c r="G204" s="8" t="s">
        <v>326</v>
      </c>
      <c r="H204" s="38" t="s">
        <v>26</v>
      </c>
      <c r="I204" s="2"/>
      <c r="J204" s="4">
        <v>-0.5</v>
      </c>
      <c r="K204" s="4" t="s">
        <v>169</v>
      </c>
      <c r="L204" s="5">
        <v>5.7999999999999996E-3</v>
      </c>
      <c r="M204" s="2"/>
      <c r="N204" s="22">
        <v>-0.5</v>
      </c>
      <c r="O204" s="22">
        <v>-0.5</v>
      </c>
      <c r="P204" s="22">
        <v>-0.5</v>
      </c>
      <c r="Q204" s="27">
        <f t="shared" si="112"/>
        <v>0</v>
      </c>
      <c r="R204" s="27">
        <f t="shared" si="113"/>
        <v>0</v>
      </c>
      <c r="S204" s="38" t="s">
        <v>26</v>
      </c>
      <c r="T204" s="23"/>
      <c r="U204" s="11"/>
      <c r="V204" s="22">
        <v>-0.5</v>
      </c>
      <c r="W204" s="22">
        <v>-0.501</v>
      </c>
      <c r="X204" s="22">
        <v>-0.5</v>
      </c>
      <c r="Y204" s="27">
        <f t="shared" si="114"/>
        <v>2.0000000000000018E-3</v>
      </c>
      <c r="Z204" s="27">
        <f t="shared" si="115"/>
        <v>0</v>
      </c>
      <c r="AA204" s="38" t="s">
        <v>26</v>
      </c>
      <c r="AB204" s="23"/>
      <c r="AC204" s="11"/>
      <c r="AD204" s="22">
        <v>-0.5</v>
      </c>
      <c r="AE204" s="22">
        <v>-0.501</v>
      </c>
      <c r="AF204" s="22">
        <v>-0.5</v>
      </c>
      <c r="AG204" s="27">
        <f t="shared" si="116"/>
        <v>2.0000000000000018E-3</v>
      </c>
      <c r="AH204" s="27">
        <f t="shared" si="117"/>
        <v>0</v>
      </c>
      <c r="AI204" s="38" t="s">
        <v>26</v>
      </c>
      <c r="AJ204" s="23"/>
      <c r="AK204" s="11"/>
      <c r="AL204" s="22">
        <v>-0.5</v>
      </c>
      <c r="AM204" s="22">
        <v>-0.502</v>
      </c>
      <c r="AN204" s="22">
        <v>-0.5</v>
      </c>
      <c r="AO204" s="27">
        <f t="shared" si="118"/>
        <v>4.0000000000000036E-3</v>
      </c>
      <c r="AP204" s="27">
        <f t="shared" si="119"/>
        <v>0</v>
      </c>
      <c r="AQ204" s="38" t="s">
        <v>26</v>
      </c>
      <c r="AR204" s="23"/>
      <c r="AS204" s="11"/>
      <c r="AT204" s="12"/>
    </row>
    <row r="205" spans="2:46" customFormat="1" ht="28.8" x14ac:dyDescent="0.3">
      <c r="B205" s="10" t="s">
        <v>488</v>
      </c>
      <c r="C205" s="61"/>
      <c r="D205" s="8" t="s">
        <v>320</v>
      </c>
      <c r="E205" s="8" t="s">
        <v>320</v>
      </c>
      <c r="F205" s="8" t="s">
        <v>550</v>
      </c>
      <c r="G205" s="8" t="s">
        <v>328</v>
      </c>
      <c r="H205" s="38" t="s">
        <v>26</v>
      </c>
      <c r="I205" s="2"/>
      <c r="J205" s="4">
        <v>-0.5</v>
      </c>
      <c r="K205" s="4" t="s">
        <v>169</v>
      </c>
      <c r="L205" s="5">
        <v>5.7999999999999996E-3</v>
      </c>
      <c r="M205" s="2"/>
      <c r="N205" s="22">
        <v>-0.5</v>
      </c>
      <c r="O205" s="22">
        <v>-0.5</v>
      </c>
      <c r="P205" s="22">
        <v>-0.5</v>
      </c>
      <c r="Q205" s="27">
        <f t="shared" si="112"/>
        <v>0</v>
      </c>
      <c r="R205" s="27">
        <f t="shared" si="113"/>
        <v>0</v>
      </c>
      <c r="S205" s="38" t="s">
        <v>26</v>
      </c>
      <c r="T205" s="23"/>
      <c r="U205" s="11"/>
      <c r="V205" s="22">
        <v>-0.5</v>
      </c>
      <c r="W205" s="22">
        <v>-0.501</v>
      </c>
      <c r="X205" s="22">
        <v>-0.5</v>
      </c>
      <c r="Y205" s="27">
        <f t="shared" si="114"/>
        <v>2.0000000000000018E-3</v>
      </c>
      <c r="Z205" s="27">
        <f t="shared" si="115"/>
        <v>0</v>
      </c>
      <c r="AA205" s="38" t="s">
        <v>26</v>
      </c>
      <c r="AB205" s="23"/>
      <c r="AC205" s="11"/>
      <c r="AD205" s="22">
        <v>-0.5</v>
      </c>
      <c r="AE205" s="22">
        <v>-0.501</v>
      </c>
      <c r="AF205" s="22">
        <v>-0.5</v>
      </c>
      <c r="AG205" s="27">
        <f t="shared" si="116"/>
        <v>2.0000000000000018E-3</v>
      </c>
      <c r="AH205" s="27">
        <f t="shared" si="117"/>
        <v>0</v>
      </c>
      <c r="AI205" s="38" t="s">
        <v>26</v>
      </c>
      <c r="AJ205" s="23"/>
      <c r="AK205" s="11"/>
      <c r="AL205" s="22">
        <v>-0.5</v>
      </c>
      <c r="AM205" s="22">
        <v>-0.502</v>
      </c>
      <c r="AN205" s="22">
        <v>-0.501</v>
      </c>
      <c r="AO205" s="27">
        <f t="shared" si="118"/>
        <v>4.0000000000000036E-3</v>
      </c>
      <c r="AP205" s="27">
        <f t="shared" si="119"/>
        <v>2.0000000000000018E-3</v>
      </c>
      <c r="AQ205" s="38" t="s">
        <v>26</v>
      </c>
      <c r="AR205" s="23"/>
      <c r="AS205" s="11"/>
      <c r="AT205" s="12"/>
    </row>
    <row r="206" spans="2:46" customFormat="1" ht="28.8" x14ac:dyDescent="0.3">
      <c r="B206" s="10" t="s">
        <v>489</v>
      </c>
      <c r="C206" s="61"/>
      <c r="D206" s="8" t="s">
        <v>320</v>
      </c>
      <c r="E206" s="8" t="s">
        <v>320</v>
      </c>
      <c r="F206" s="8" t="s">
        <v>550</v>
      </c>
      <c r="G206" s="8" t="s">
        <v>330</v>
      </c>
      <c r="H206" s="38" t="s">
        <v>26</v>
      </c>
      <c r="I206" s="2"/>
      <c r="J206" s="4">
        <v>-0.5</v>
      </c>
      <c r="K206" s="4" t="s">
        <v>169</v>
      </c>
      <c r="L206" s="5">
        <v>5.7999999999999996E-3</v>
      </c>
      <c r="M206" s="2"/>
      <c r="N206" s="22">
        <v>-0.5</v>
      </c>
      <c r="O206" s="22">
        <v>-0.5</v>
      </c>
      <c r="P206" s="22">
        <v>-0.5</v>
      </c>
      <c r="Q206" s="27">
        <f t="shared" si="112"/>
        <v>0</v>
      </c>
      <c r="R206" s="27">
        <f t="shared" si="113"/>
        <v>0</v>
      </c>
      <c r="S206" s="38" t="s">
        <v>26</v>
      </c>
      <c r="T206" s="23"/>
      <c r="U206" s="11"/>
      <c r="V206" s="22">
        <v>-0.5</v>
      </c>
      <c r="W206" s="22">
        <v>-0.501</v>
      </c>
      <c r="X206" s="22">
        <v>-0.5</v>
      </c>
      <c r="Y206" s="27">
        <f t="shared" si="114"/>
        <v>2.0000000000000018E-3</v>
      </c>
      <c r="Z206" s="27">
        <f t="shared" si="115"/>
        <v>0</v>
      </c>
      <c r="AA206" s="38" t="s">
        <v>26</v>
      </c>
      <c r="AB206" s="23"/>
      <c r="AC206" s="11"/>
      <c r="AD206" s="22">
        <v>-0.5</v>
      </c>
      <c r="AE206" s="22">
        <v>-0.501</v>
      </c>
      <c r="AF206" s="22">
        <v>-0.5</v>
      </c>
      <c r="AG206" s="27">
        <f t="shared" si="116"/>
        <v>2.0000000000000018E-3</v>
      </c>
      <c r="AH206" s="27">
        <f t="shared" si="117"/>
        <v>0</v>
      </c>
      <c r="AI206" s="38" t="s">
        <v>26</v>
      </c>
      <c r="AJ206" s="23"/>
      <c r="AK206" s="11"/>
      <c r="AL206" s="22">
        <v>-0.5</v>
      </c>
      <c r="AM206" s="22">
        <v>-0.502</v>
      </c>
      <c r="AN206" s="22">
        <v>-0.501</v>
      </c>
      <c r="AO206" s="27">
        <f t="shared" si="118"/>
        <v>4.0000000000000036E-3</v>
      </c>
      <c r="AP206" s="27">
        <f t="shared" si="119"/>
        <v>2.0000000000000018E-3</v>
      </c>
      <c r="AQ206" s="38" t="s">
        <v>26</v>
      </c>
      <c r="AR206" s="23"/>
      <c r="AS206" s="11"/>
      <c r="AT206" s="12"/>
    </row>
    <row r="207" spans="2:46" customFormat="1" ht="28.8" x14ac:dyDescent="0.3">
      <c r="B207" s="10" t="s">
        <v>490</v>
      </c>
      <c r="C207" s="61"/>
      <c r="D207" s="8" t="s">
        <v>320</v>
      </c>
      <c r="E207" s="8" t="s">
        <v>320</v>
      </c>
      <c r="F207" s="8" t="s">
        <v>550</v>
      </c>
      <c r="G207" s="8" t="s">
        <v>332</v>
      </c>
      <c r="H207" s="38" t="s">
        <v>26</v>
      </c>
      <c r="I207" s="2"/>
      <c r="J207" s="4">
        <v>-0.5</v>
      </c>
      <c r="K207" s="4" t="s">
        <v>169</v>
      </c>
      <c r="L207" s="5">
        <v>5.7999999999999996E-3</v>
      </c>
      <c r="M207" s="2"/>
      <c r="N207" s="22">
        <v>-0.5</v>
      </c>
      <c r="O207" s="22">
        <v>-0.5</v>
      </c>
      <c r="P207" s="22">
        <v>-0.5</v>
      </c>
      <c r="Q207" s="27">
        <f t="shared" si="112"/>
        <v>0</v>
      </c>
      <c r="R207" s="27">
        <f t="shared" si="113"/>
        <v>0</v>
      </c>
      <c r="S207" s="38" t="s">
        <v>26</v>
      </c>
      <c r="T207" s="23"/>
      <c r="U207" s="11"/>
      <c r="V207" s="22">
        <v>-0.5</v>
      </c>
      <c r="W207" s="22">
        <v>-0.501</v>
      </c>
      <c r="X207" s="22">
        <v>-0.5</v>
      </c>
      <c r="Y207" s="27">
        <f t="shared" si="114"/>
        <v>2.0000000000000018E-3</v>
      </c>
      <c r="Z207" s="27">
        <f t="shared" si="115"/>
        <v>0</v>
      </c>
      <c r="AA207" s="38" t="s">
        <v>26</v>
      </c>
      <c r="AB207" s="23"/>
      <c r="AC207" s="11"/>
      <c r="AD207" s="22">
        <v>-0.5</v>
      </c>
      <c r="AE207" s="22">
        <v>-0.501</v>
      </c>
      <c r="AF207" s="22">
        <v>-0.5</v>
      </c>
      <c r="AG207" s="27">
        <f t="shared" si="116"/>
        <v>2.0000000000000018E-3</v>
      </c>
      <c r="AH207" s="27">
        <f t="shared" si="117"/>
        <v>0</v>
      </c>
      <c r="AI207" s="38" t="s">
        <v>26</v>
      </c>
      <c r="AJ207" s="23"/>
      <c r="AK207" s="11"/>
      <c r="AL207" s="22">
        <v>-0.5</v>
      </c>
      <c r="AM207" s="22">
        <v>-0.501</v>
      </c>
      <c r="AN207" s="22">
        <v>-0.5</v>
      </c>
      <c r="AO207" s="27">
        <f t="shared" si="118"/>
        <v>2.0000000000000018E-3</v>
      </c>
      <c r="AP207" s="27">
        <f t="shared" si="119"/>
        <v>0</v>
      </c>
      <c r="AQ207" s="38" t="s">
        <v>26</v>
      </c>
      <c r="AR207" s="23"/>
      <c r="AS207" s="11"/>
      <c r="AT207" s="12"/>
    </row>
    <row r="208" spans="2:46" customFormat="1" ht="28.8" x14ac:dyDescent="0.3">
      <c r="B208" s="10" t="s">
        <v>491</v>
      </c>
      <c r="C208" s="61"/>
      <c r="D208" s="8" t="s">
        <v>320</v>
      </c>
      <c r="E208" s="8" t="s">
        <v>320</v>
      </c>
      <c r="F208" s="8" t="s">
        <v>550</v>
      </c>
      <c r="G208" s="8" t="s">
        <v>334</v>
      </c>
      <c r="H208" s="38" t="s">
        <v>26</v>
      </c>
      <c r="I208" s="2"/>
      <c r="J208" s="4">
        <v>-0.5</v>
      </c>
      <c r="K208" s="4" t="s">
        <v>169</v>
      </c>
      <c r="L208" s="5">
        <v>5.7999999999999996E-3</v>
      </c>
      <c r="M208" s="2"/>
      <c r="N208" s="22">
        <v>-0.5</v>
      </c>
      <c r="O208" s="22">
        <v>-0.5</v>
      </c>
      <c r="P208" s="22">
        <v>-0.5</v>
      </c>
      <c r="Q208" s="27">
        <f t="shared" si="112"/>
        <v>0</v>
      </c>
      <c r="R208" s="27">
        <f t="shared" si="113"/>
        <v>0</v>
      </c>
      <c r="S208" s="38" t="s">
        <v>26</v>
      </c>
      <c r="T208" s="23"/>
      <c r="U208" s="11"/>
      <c r="V208" s="22">
        <v>-0.5</v>
      </c>
      <c r="W208" s="22">
        <v>-0.501</v>
      </c>
      <c r="X208" s="22">
        <v>-0.5</v>
      </c>
      <c r="Y208" s="27">
        <f t="shared" si="114"/>
        <v>2.0000000000000018E-3</v>
      </c>
      <c r="Z208" s="27">
        <f t="shared" si="115"/>
        <v>0</v>
      </c>
      <c r="AA208" s="38" t="s">
        <v>26</v>
      </c>
      <c r="AB208" s="23"/>
      <c r="AC208" s="11"/>
      <c r="AD208" s="22">
        <v>-0.5</v>
      </c>
      <c r="AE208" s="22">
        <v>-0.501</v>
      </c>
      <c r="AF208" s="22">
        <v>-0.5</v>
      </c>
      <c r="AG208" s="27">
        <f t="shared" si="116"/>
        <v>2.0000000000000018E-3</v>
      </c>
      <c r="AH208" s="27">
        <f t="shared" si="117"/>
        <v>0</v>
      </c>
      <c r="AI208" s="38" t="s">
        <v>26</v>
      </c>
      <c r="AJ208" s="23"/>
      <c r="AK208" s="11"/>
      <c r="AL208" s="22">
        <v>-0.5</v>
      </c>
      <c r="AM208" s="22">
        <v>-0.502</v>
      </c>
      <c r="AN208" s="22">
        <v>-0.501</v>
      </c>
      <c r="AO208" s="27">
        <f t="shared" si="118"/>
        <v>4.0000000000000036E-3</v>
      </c>
      <c r="AP208" s="27">
        <f t="shared" si="119"/>
        <v>2.0000000000000018E-3</v>
      </c>
      <c r="AQ208" s="38" t="s">
        <v>26</v>
      </c>
      <c r="AR208" s="23"/>
      <c r="AS208" s="11"/>
      <c r="AT208" s="12"/>
    </row>
    <row r="209" spans="2:46" customFormat="1" ht="28.8" x14ac:dyDescent="0.3">
      <c r="B209" s="10" t="s">
        <v>492</v>
      </c>
      <c r="C209" s="61"/>
      <c r="D209" s="8" t="s">
        <v>320</v>
      </c>
      <c r="E209" s="8" t="s">
        <v>320</v>
      </c>
      <c r="F209" s="8" t="s">
        <v>550</v>
      </c>
      <c r="G209" s="8" t="s">
        <v>336</v>
      </c>
      <c r="H209" s="38" t="s">
        <v>26</v>
      </c>
      <c r="I209" s="2"/>
      <c r="J209" s="4">
        <v>-0.5</v>
      </c>
      <c r="K209" s="4" t="s">
        <v>169</v>
      </c>
      <c r="L209" s="5">
        <v>5.7999999999999996E-3</v>
      </c>
      <c r="M209" s="2"/>
      <c r="N209" s="22">
        <v>-0.5</v>
      </c>
      <c r="O209" s="22">
        <v>-0.5</v>
      </c>
      <c r="P209" s="22">
        <v>-0.5</v>
      </c>
      <c r="Q209" s="27">
        <f t="shared" si="112"/>
        <v>0</v>
      </c>
      <c r="R209" s="27">
        <f t="shared" si="113"/>
        <v>0</v>
      </c>
      <c r="S209" s="38" t="s">
        <v>26</v>
      </c>
      <c r="T209" s="23"/>
      <c r="U209" s="11"/>
      <c r="V209" s="22">
        <v>-0.5</v>
      </c>
      <c r="W209" s="22">
        <v>-0.501</v>
      </c>
      <c r="X209" s="22">
        <v>-0.5</v>
      </c>
      <c r="Y209" s="27">
        <f t="shared" si="114"/>
        <v>2.0000000000000018E-3</v>
      </c>
      <c r="Z209" s="27">
        <f t="shared" si="115"/>
        <v>0</v>
      </c>
      <c r="AA209" s="38" t="s">
        <v>26</v>
      </c>
      <c r="AB209" s="23"/>
      <c r="AC209" s="11"/>
      <c r="AD209" s="22">
        <v>-0.5</v>
      </c>
      <c r="AE209" s="22">
        <v>-0.501</v>
      </c>
      <c r="AF209" s="22">
        <v>-0.5</v>
      </c>
      <c r="AG209" s="27">
        <f t="shared" si="116"/>
        <v>2.0000000000000018E-3</v>
      </c>
      <c r="AH209" s="27">
        <f t="shared" si="117"/>
        <v>0</v>
      </c>
      <c r="AI209" s="38" t="s">
        <v>26</v>
      </c>
      <c r="AJ209" s="23"/>
      <c r="AK209" s="11"/>
      <c r="AL209" s="22">
        <v>-0.5</v>
      </c>
      <c r="AM209" s="22">
        <v>-0.501</v>
      </c>
      <c r="AN209" s="22">
        <v>-0.5</v>
      </c>
      <c r="AO209" s="27">
        <f t="shared" si="118"/>
        <v>2.0000000000000018E-3</v>
      </c>
      <c r="AP209" s="27">
        <f t="shared" si="119"/>
        <v>0</v>
      </c>
      <c r="AQ209" s="38" t="s">
        <v>26</v>
      </c>
      <c r="AR209" s="23"/>
      <c r="AS209" s="11"/>
      <c r="AT209" s="12"/>
    </row>
    <row r="210" spans="2:46" customFormat="1" ht="28.8" x14ac:dyDescent="0.3">
      <c r="B210" s="10" t="s">
        <v>493</v>
      </c>
      <c r="C210" s="61"/>
      <c r="D210" s="8" t="s">
        <v>320</v>
      </c>
      <c r="E210" s="8" t="s">
        <v>320</v>
      </c>
      <c r="F210" s="8" t="s">
        <v>550</v>
      </c>
      <c r="G210" s="8" t="s">
        <v>338</v>
      </c>
      <c r="H210" s="38" t="s">
        <v>26</v>
      </c>
      <c r="I210" s="2"/>
      <c r="J210" s="4">
        <v>-0.5</v>
      </c>
      <c r="K210" s="4" t="s">
        <v>169</v>
      </c>
      <c r="L210" s="5">
        <v>5.7999999999999996E-3</v>
      </c>
      <c r="M210" s="2"/>
      <c r="N210" s="22">
        <v>-0.5</v>
      </c>
      <c r="O210" s="22">
        <v>-0.5</v>
      </c>
      <c r="P210" s="22">
        <v>-0.5</v>
      </c>
      <c r="Q210" s="27">
        <f t="shared" si="112"/>
        <v>0</v>
      </c>
      <c r="R210" s="27">
        <f t="shared" si="113"/>
        <v>0</v>
      </c>
      <c r="S210" s="38" t="s">
        <v>26</v>
      </c>
      <c r="T210" s="23"/>
      <c r="U210" s="11"/>
      <c r="V210" s="22">
        <v>-0.5</v>
      </c>
      <c r="W210" s="22">
        <v>-0.501</v>
      </c>
      <c r="X210" s="22">
        <v>-0.5</v>
      </c>
      <c r="Y210" s="27">
        <f t="shared" si="114"/>
        <v>2.0000000000000018E-3</v>
      </c>
      <c r="Z210" s="27">
        <f t="shared" si="115"/>
        <v>0</v>
      </c>
      <c r="AA210" s="38" t="s">
        <v>26</v>
      </c>
      <c r="AB210" s="23"/>
      <c r="AC210" s="11"/>
      <c r="AD210" s="22">
        <v>-0.5</v>
      </c>
      <c r="AE210" s="22">
        <v>-0.501</v>
      </c>
      <c r="AF210" s="22">
        <v>-0.5</v>
      </c>
      <c r="AG210" s="27">
        <f t="shared" si="116"/>
        <v>2.0000000000000018E-3</v>
      </c>
      <c r="AH210" s="27">
        <f t="shared" si="117"/>
        <v>0</v>
      </c>
      <c r="AI210" s="38" t="s">
        <v>26</v>
      </c>
      <c r="AJ210" s="23"/>
      <c r="AK210" s="11"/>
      <c r="AL210" s="22">
        <v>-0.5</v>
      </c>
      <c r="AM210" s="22">
        <v>-0.502</v>
      </c>
      <c r="AN210" s="22">
        <v>-0.5</v>
      </c>
      <c r="AO210" s="27">
        <f t="shared" si="118"/>
        <v>4.0000000000000036E-3</v>
      </c>
      <c r="AP210" s="27">
        <f t="shared" si="119"/>
        <v>0</v>
      </c>
      <c r="AQ210" s="38" t="s">
        <v>26</v>
      </c>
      <c r="AR210" s="23"/>
      <c r="AS210" s="11"/>
      <c r="AT210" s="12"/>
    </row>
    <row r="211" spans="2:46" customFormat="1" ht="28.8" x14ac:dyDescent="0.3">
      <c r="B211" s="10" t="s">
        <v>494</v>
      </c>
      <c r="C211" s="61"/>
      <c r="D211" s="8" t="s">
        <v>320</v>
      </c>
      <c r="E211" s="8" t="s">
        <v>320</v>
      </c>
      <c r="F211" s="8" t="s">
        <v>544</v>
      </c>
      <c r="G211" s="8" t="s">
        <v>323</v>
      </c>
      <c r="H211" s="38" t="s">
        <v>26</v>
      </c>
      <c r="I211" s="2"/>
      <c r="J211" s="4">
        <v>1</v>
      </c>
      <c r="K211" s="4" t="s">
        <v>169</v>
      </c>
      <c r="L211" s="5">
        <v>3.3999999999999998E-3</v>
      </c>
      <c r="M211" s="2"/>
      <c r="N211" s="22">
        <v>1</v>
      </c>
      <c r="O211" s="22">
        <v>1</v>
      </c>
      <c r="P211" s="22">
        <v>1</v>
      </c>
      <c r="Q211" s="27">
        <f t="shared" si="112"/>
        <v>0</v>
      </c>
      <c r="R211" s="27">
        <f t="shared" si="113"/>
        <v>0</v>
      </c>
      <c r="S211" s="38" t="s">
        <v>26</v>
      </c>
      <c r="T211" s="23"/>
      <c r="U211" s="11"/>
      <c r="V211" s="22">
        <v>1</v>
      </c>
      <c r="W211" s="22">
        <v>0.999</v>
      </c>
      <c r="X211" s="22">
        <v>1.0009999999999999</v>
      </c>
      <c r="Y211" s="27">
        <f t="shared" si="114"/>
        <v>-1.0000000000000009E-3</v>
      </c>
      <c r="Z211" s="27">
        <f t="shared" si="115"/>
        <v>9.9999999999988987E-4</v>
      </c>
      <c r="AA211" s="38" t="s">
        <v>26</v>
      </c>
      <c r="AB211" s="23"/>
      <c r="AC211" s="11"/>
      <c r="AD211" s="22">
        <v>1</v>
      </c>
      <c r="AE211" s="22">
        <v>0.999</v>
      </c>
      <c r="AF211" s="22">
        <v>1.0009999999999999</v>
      </c>
      <c r="AG211" s="27">
        <f t="shared" si="116"/>
        <v>-1.0000000000000009E-3</v>
      </c>
      <c r="AH211" s="27">
        <f t="shared" si="117"/>
        <v>9.9999999999988987E-4</v>
      </c>
      <c r="AI211" s="38" t="s">
        <v>26</v>
      </c>
      <c r="AJ211" s="23"/>
      <c r="AK211" s="11"/>
      <c r="AL211" s="22">
        <v>1</v>
      </c>
      <c r="AM211" s="22">
        <v>1</v>
      </c>
      <c r="AN211" s="22">
        <v>1.0009999999999999</v>
      </c>
      <c r="AO211" s="27">
        <f t="shared" si="118"/>
        <v>0</v>
      </c>
      <c r="AP211" s="27">
        <f t="shared" si="119"/>
        <v>9.9999999999988987E-4</v>
      </c>
      <c r="AQ211" s="38" t="s">
        <v>26</v>
      </c>
      <c r="AR211" s="22">
        <f>MIN(AM211:AN218)</f>
        <v>1</v>
      </c>
      <c r="AS211" s="11"/>
      <c r="AT211" s="12"/>
    </row>
    <row r="212" spans="2:46" customFormat="1" ht="28.8" x14ac:dyDescent="0.3">
      <c r="B212" s="10" t="s">
        <v>495</v>
      </c>
      <c r="C212" s="61"/>
      <c r="D212" s="8" t="s">
        <v>320</v>
      </c>
      <c r="E212" s="8" t="s">
        <v>320</v>
      </c>
      <c r="F212" s="8" t="s">
        <v>544</v>
      </c>
      <c r="G212" s="8" t="s">
        <v>325</v>
      </c>
      <c r="H212" s="38" t="s">
        <v>26</v>
      </c>
      <c r="I212" s="2"/>
      <c r="J212" s="4">
        <v>1</v>
      </c>
      <c r="K212" s="4" t="s">
        <v>169</v>
      </c>
      <c r="L212" s="5">
        <v>3.3999999999999998E-3</v>
      </c>
      <c r="M212" s="2"/>
      <c r="N212" s="22">
        <v>1</v>
      </c>
      <c r="O212" s="22">
        <v>1</v>
      </c>
      <c r="P212" s="22">
        <v>1</v>
      </c>
      <c r="Q212" s="27">
        <f t="shared" si="112"/>
        <v>0</v>
      </c>
      <c r="R212" s="27">
        <f t="shared" si="113"/>
        <v>0</v>
      </c>
      <c r="S212" s="38" t="s">
        <v>26</v>
      </c>
      <c r="T212" s="23"/>
      <c r="U212" s="11"/>
      <c r="V212" s="22">
        <v>1</v>
      </c>
      <c r="W212" s="22">
        <v>0.999</v>
      </c>
      <c r="X212" s="22">
        <v>1.0009999999999999</v>
      </c>
      <c r="Y212" s="27">
        <f t="shared" si="114"/>
        <v>-1.0000000000000009E-3</v>
      </c>
      <c r="Z212" s="27">
        <f t="shared" si="115"/>
        <v>9.9999999999988987E-4</v>
      </c>
      <c r="AA212" s="38" t="s">
        <v>26</v>
      </c>
      <c r="AB212" s="23"/>
      <c r="AC212" s="11"/>
      <c r="AD212" s="22">
        <v>1</v>
      </c>
      <c r="AE212" s="22">
        <v>0.999</v>
      </c>
      <c r="AF212" s="22">
        <v>1.0009999999999999</v>
      </c>
      <c r="AG212" s="27">
        <f t="shared" si="116"/>
        <v>-1.0000000000000009E-3</v>
      </c>
      <c r="AH212" s="27">
        <f t="shared" si="117"/>
        <v>9.9999999999988987E-4</v>
      </c>
      <c r="AI212" s="38" t="s">
        <v>26</v>
      </c>
      <c r="AJ212" s="23"/>
      <c r="AK212" s="11"/>
      <c r="AL212" s="22">
        <v>1</v>
      </c>
      <c r="AM212" s="22">
        <v>1</v>
      </c>
      <c r="AN212" s="22">
        <v>1.0009999999999999</v>
      </c>
      <c r="AO212" s="27">
        <f t="shared" si="118"/>
        <v>0</v>
      </c>
      <c r="AP212" s="27">
        <f t="shared" si="119"/>
        <v>9.9999999999988987E-4</v>
      </c>
      <c r="AQ212" s="38" t="s">
        <v>26</v>
      </c>
      <c r="AR212" s="22">
        <f>MAX(AM211:AN218)</f>
        <v>1.0029999999999999</v>
      </c>
      <c r="AS212" s="11"/>
      <c r="AT212" s="12"/>
    </row>
    <row r="213" spans="2:46" customFormat="1" ht="28.8" x14ac:dyDescent="0.3">
      <c r="B213" s="10" t="s">
        <v>496</v>
      </c>
      <c r="C213" s="61"/>
      <c r="D213" s="8" t="s">
        <v>320</v>
      </c>
      <c r="E213" s="8" t="s">
        <v>320</v>
      </c>
      <c r="F213" s="8" t="s">
        <v>544</v>
      </c>
      <c r="G213" s="8" t="s">
        <v>327</v>
      </c>
      <c r="H213" s="38" t="s">
        <v>26</v>
      </c>
      <c r="I213" s="2"/>
      <c r="J213" s="4">
        <v>1</v>
      </c>
      <c r="K213" s="4" t="s">
        <v>169</v>
      </c>
      <c r="L213" s="5">
        <v>3.3999999999999998E-3</v>
      </c>
      <c r="M213" s="2"/>
      <c r="N213" s="22">
        <v>1</v>
      </c>
      <c r="O213" s="22">
        <v>1</v>
      </c>
      <c r="P213" s="22">
        <v>1</v>
      </c>
      <c r="Q213" s="27">
        <f t="shared" si="112"/>
        <v>0</v>
      </c>
      <c r="R213" s="27">
        <f t="shared" si="113"/>
        <v>0</v>
      </c>
      <c r="S213" s="38" t="s">
        <v>26</v>
      </c>
      <c r="T213" s="23"/>
      <c r="U213" s="11"/>
      <c r="V213" s="22">
        <v>1</v>
      </c>
      <c r="W213" s="22">
        <v>0.999</v>
      </c>
      <c r="X213" s="22">
        <v>1</v>
      </c>
      <c r="Y213" s="27">
        <f t="shared" si="114"/>
        <v>-1.0000000000000009E-3</v>
      </c>
      <c r="Z213" s="27">
        <f t="shared" si="115"/>
        <v>0</v>
      </c>
      <c r="AA213" s="38" t="s">
        <v>26</v>
      </c>
      <c r="AB213" s="23"/>
      <c r="AC213" s="11"/>
      <c r="AD213" s="22">
        <v>1</v>
      </c>
      <c r="AE213" s="22">
        <v>0.999</v>
      </c>
      <c r="AF213" s="22">
        <v>1</v>
      </c>
      <c r="AG213" s="27">
        <f t="shared" si="116"/>
        <v>-1.0000000000000009E-3</v>
      </c>
      <c r="AH213" s="27">
        <f t="shared" si="117"/>
        <v>0</v>
      </c>
      <c r="AI213" s="38" t="s">
        <v>26</v>
      </c>
      <c r="AJ213" s="23"/>
      <c r="AK213" s="11"/>
      <c r="AL213" s="22">
        <v>1</v>
      </c>
      <c r="AM213" s="22">
        <v>1.0009999999999999</v>
      </c>
      <c r="AN213" s="22">
        <v>1.002</v>
      </c>
      <c r="AO213" s="27">
        <f t="shared" si="118"/>
        <v>9.9999999999988987E-4</v>
      </c>
      <c r="AP213" s="27">
        <f t="shared" si="119"/>
        <v>2.0000000000000018E-3</v>
      </c>
      <c r="AQ213" s="38" t="s">
        <v>26</v>
      </c>
      <c r="AR213" s="23"/>
      <c r="AS213" s="11"/>
      <c r="AT213" s="12"/>
    </row>
    <row r="214" spans="2:46" customFormat="1" ht="28.8" x14ac:dyDescent="0.3">
      <c r="B214" s="10" t="s">
        <v>497</v>
      </c>
      <c r="C214" s="61"/>
      <c r="D214" s="8" t="s">
        <v>320</v>
      </c>
      <c r="E214" s="8" t="s">
        <v>320</v>
      </c>
      <c r="F214" s="8" t="s">
        <v>544</v>
      </c>
      <c r="G214" s="8" t="s">
        <v>329</v>
      </c>
      <c r="H214" s="38" t="s">
        <v>26</v>
      </c>
      <c r="I214" s="2"/>
      <c r="J214" s="4">
        <v>1</v>
      </c>
      <c r="K214" s="4" t="s">
        <v>169</v>
      </c>
      <c r="L214" s="5">
        <v>3.3999999999999998E-3</v>
      </c>
      <c r="M214" s="2"/>
      <c r="N214" s="22">
        <v>1</v>
      </c>
      <c r="O214" s="22">
        <v>1</v>
      </c>
      <c r="P214" s="22">
        <v>1</v>
      </c>
      <c r="Q214" s="27">
        <f t="shared" si="112"/>
        <v>0</v>
      </c>
      <c r="R214" s="27">
        <f t="shared" si="113"/>
        <v>0</v>
      </c>
      <c r="S214" s="38" t="s">
        <v>26</v>
      </c>
      <c r="T214" s="23"/>
      <c r="U214" s="11"/>
      <c r="V214" s="22">
        <v>1</v>
      </c>
      <c r="W214" s="22">
        <v>0.999</v>
      </c>
      <c r="X214" s="22">
        <v>1</v>
      </c>
      <c r="Y214" s="27">
        <f t="shared" si="114"/>
        <v>-1.0000000000000009E-3</v>
      </c>
      <c r="Z214" s="27">
        <f t="shared" si="115"/>
        <v>0</v>
      </c>
      <c r="AA214" s="38" t="s">
        <v>26</v>
      </c>
      <c r="AB214" s="23"/>
      <c r="AC214" s="11"/>
      <c r="AD214" s="22">
        <v>1</v>
      </c>
      <c r="AE214" s="22">
        <v>0.999</v>
      </c>
      <c r="AF214" s="22">
        <v>1</v>
      </c>
      <c r="AG214" s="27">
        <f t="shared" si="116"/>
        <v>-1.0000000000000009E-3</v>
      </c>
      <c r="AH214" s="27">
        <f t="shared" si="117"/>
        <v>0</v>
      </c>
      <c r="AI214" s="38" t="s">
        <v>26</v>
      </c>
      <c r="AJ214" s="23"/>
      <c r="AK214" s="11"/>
      <c r="AL214" s="22">
        <v>1</v>
      </c>
      <c r="AM214" s="22">
        <v>1.0009999999999999</v>
      </c>
      <c r="AN214" s="22">
        <v>1.0029999999999999</v>
      </c>
      <c r="AO214" s="27">
        <f t="shared" si="118"/>
        <v>9.9999999999988987E-4</v>
      </c>
      <c r="AP214" s="27">
        <f t="shared" si="119"/>
        <v>2.9999999999998916E-3</v>
      </c>
      <c r="AQ214" s="38" t="s">
        <v>26</v>
      </c>
      <c r="AR214" s="23"/>
      <c r="AS214" s="11"/>
      <c r="AT214" s="12"/>
    </row>
    <row r="215" spans="2:46" customFormat="1" ht="28.8" x14ac:dyDescent="0.3">
      <c r="B215" s="10" t="s">
        <v>498</v>
      </c>
      <c r="C215" s="61"/>
      <c r="D215" s="8" t="s">
        <v>320</v>
      </c>
      <c r="E215" s="8" t="s">
        <v>320</v>
      </c>
      <c r="F215" s="8" t="s">
        <v>544</v>
      </c>
      <c r="G215" s="8" t="s">
        <v>331</v>
      </c>
      <c r="H215" s="38" t="s">
        <v>26</v>
      </c>
      <c r="I215" s="2"/>
      <c r="J215" s="4">
        <v>1</v>
      </c>
      <c r="K215" s="4" t="s">
        <v>169</v>
      </c>
      <c r="L215" s="5">
        <v>3.3999999999999998E-3</v>
      </c>
      <c r="M215" s="2"/>
      <c r="N215" s="22">
        <v>1</v>
      </c>
      <c r="O215" s="22">
        <v>1</v>
      </c>
      <c r="P215" s="22">
        <v>1</v>
      </c>
      <c r="Q215" s="27">
        <f t="shared" si="112"/>
        <v>0</v>
      </c>
      <c r="R215" s="27">
        <f t="shared" si="113"/>
        <v>0</v>
      </c>
      <c r="S215" s="38" t="s">
        <v>26</v>
      </c>
      <c r="T215" s="23"/>
      <c r="U215" s="11"/>
      <c r="V215" s="22">
        <v>1</v>
      </c>
      <c r="W215" s="22">
        <v>0.999</v>
      </c>
      <c r="X215" s="22">
        <v>1.0009999999999999</v>
      </c>
      <c r="Y215" s="27">
        <f t="shared" si="114"/>
        <v>-1.0000000000000009E-3</v>
      </c>
      <c r="Z215" s="27">
        <f t="shared" si="115"/>
        <v>9.9999999999988987E-4</v>
      </c>
      <c r="AA215" s="38" t="s">
        <v>26</v>
      </c>
      <c r="AB215" s="23"/>
      <c r="AC215" s="11"/>
      <c r="AD215" s="22">
        <v>1</v>
      </c>
      <c r="AE215" s="22">
        <v>0.999</v>
      </c>
      <c r="AF215" s="22">
        <v>1.0009999999999999</v>
      </c>
      <c r="AG215" s="27">
        <f t="shared" si="116"/>
        <v>-1.0000000000000009E-3</v>
      </c>
      <c r="AH215" s="27">
        <f t="shared" si="117"/>
        <v>9.9999999999988987E-4</v>
      </c>
      <c r="AI215" s="38" t="s">
        <v>26</v>
      </c>
      <c r="AJ215" s="23"/>
      <c r="AK215" s="11"/>
      <c r="AL215" s="22">
        <v>1</v>
      </c>
      <c r="AM215" s="22">
        <v>1</v>
      </c>
      <c r="AN215" s="22">
        <v>1.0009999999999999</v>
      </c>
      <c r="AO215" s="27">
        <f t="shared" si="118"/>
        <v>0</v>
      </c>
      <c r="AP215" s="27">
        <f t="shared" si="119"/>
        <v>9.9999999999988987E-4</v>
      </c>
      <c r="AQ215" s="38" t="s">
        <v>26</v>
      </c>
      <c r="AR215" s="23"/>
      <c r="AS215" s="11"/>
      <c r="AT215" s="12"/>
    </row>
    <row r="216" spans="2:46" customFormat="1" ht="28.8" x14ac:dyDescent="0.3">
      <c r="B216" s="10" t="s">
        <v>499</v>
      </c>
      <c r="C216" s="61"/>
      <c r="D216" s="8" t="s">
        <v>320</v>
      </c>
      <c r="E216" s="8" t="s">
        <v>320</v>
      </c>
      <c r="F216" s="8" t="s">
        <v>544</v>
      </c>
      <c r="G216" s="8" t="s">
        <v>333</v>
      </c>
      <c r="H216" s="38" t="s">
        <v>26</v>
      </c>
      <c r="I216" s="2"/>
      <c r="J216" s="4">
        <v>1</v>
      </c>
      <c r="K216" s="4" t="s">
        <v>169</v>
      </c>
      <c r="L216" s="5">
        <v>3.3999999999999998E-3</v>
      </c>
      <c r="M216" s="2"/>
      <c r="N216" s="22">
        <v>1</v>
      </c>
      <c r="O216" s="22">
        <v>1</v>
      </c>
      <c r="P216" s="22">
        <v>1</v>
      </c>
      <c r="Q216" s="27">
        <f t="shared" si="112"/>
        <v>0</v>
      </c>
      <c r="R216" s="27">
        <f t="shared" si="113"/>
        <v>0</v>
      </c>
      <c r="S216" s="38" t="s">
        <v>26</v>
      </c>
      <c r="T216" s="23"/>
      <c r="U216" s="11"/>
      <c r="V216" s="22">
        <v>1</v>
      </c>
      <c r="W216" s="22">
        <v>0.999</v>
      </c>
      <c r="X216" s="22">
        <v>1.0009999999999999</v>
      </c>
      <c r="Y216" s="27">
        <f t="shared" si="114"/>
        <v>-1.0000000000000009E-3</v>
      </c>
      <c r="Z216" s="27">
        <f t="shared" si="115"/>
        <v>9.9999999999988987E-4</v>
      </c>
      <c r="AA216" s="38" t="s">
        <v>26</v>
      </c>
      <c r="AB216" s="23"/>
      <c r="AC216" s="11"/>
      <c r="AD216" s="22">
        <v>1</v>
      </c>
      <c r="AE216" s="22">
        <v>0.999</v>
      </c>
      <c r="AF216" s="22">
        <v>1.0009999999999999</v>
      </c>
      <c r="AG216" s="27">
        <f t="shared" si="116"/>
        <v>-1.0000000000000009E-3</v>
      </c>
      <c r="AH216" s="27">
        <f t="shared" si="117"/>
        <v>9.9999999999988987E-4</v>
      </c>
      <c r="AI216" s="38" t="s">
        <v>26</v>
      </c>
      <c r="AJ216" s="23"/>
      <c r="AK216" s="11"/>
      <c r="AL216" s="22">
        <v>1</v>
      </c>
      <c r="AM216" s="22">
        <v>1.0009999999999999</v>
      </c>
      <c r="AN216" s="22">
        <v>1.0029999999999999</v>
      </c>
      <c r="AO216" s="27">
        <f t="shared" si="118"/>
        <v>9.9999999999988987E-4</v>
      </c>
      <c r="AP216" s="27">
        <f t="shared" si="119"/>
        <v>2.9999999999998916E-3</v>
      </c>
      <c r="AQ216" s="38" t="s">
        <v>26</v>
      </c>
      <c r="AR216" s="23"/>
      <c r="AS216" s="11"/>
      <c r="AT216" s="12"/>
    </row>
    <row r="217" spans="2:46" customFormat="1" ht="28.8" x14ac:dyDescent="0.3">
      <c r="B217" s="10" t="s">
        <v>500</v>
      </c>
      <c r="C217" s="61"/>
      <c r="D217" s="8" t="s">
        <v>320</v>
      </c>
      <c r="E217" s="8" t="s">
        <v>320</v>
      </c>
      <c r="F217" s="8" t="s">
        <v>544</v>
      </c>
      <c r="G217" s="8" t="s">
        <v>335</v>
      </c>
      <c r="H217" s="38" t="s">
        <v>26</v>
      </c>
      <c r="I217" s="2"/>
      <c r="J217" s="4">
        <v>1</v>
      </c>
      <c r="K217" s="4" t="s">
        <v>169</v>
      </c>
      <c r="L217" s="5">
        <v>3.3999999999999998E-3</v>
      </c>
      <c r="M217" s="2"/>
      <c r="N217" s="22">
        <v>1</v>
      </c>
      <c r="O217" s="22">
        <v>1</v>
      </c>
      <c r="P217" s="22">
        <v>1</v>
      </c>
      <c r="Q217" s="27">
        <f t="shared" si="112"/>
        <v>0</v>
      </c>
      <c r="R217" s="27">
        <f t="shared" si="113"/>
        <v>0</v>
      </c>
      <c r="S217" s="38" t="s">
        <v>26</v>
      </c>
      <c r="T217" s="23"/>
      <c r="U217" s="11"/>
      <c r="V217" s="22">
        <v>1</v>
      </c>
      <c r="W217" s="22">
        <v>0.999</v>
      </c>
      <c r="X217" s="22">
        <v>1.0009999999999999</v>
      </c>
      <c r="Y217" s="27">
        <f t="shared" si="114"/>
        <v>-1.0000000000000009E-3</v>
      </c>
      <c r="Z217" s="27">
        <f t="shared" si="115"/>
        <v>9.9999999999988987E-4</v>
      </c>
      <c r="AA217" s="38" t="s">
        <v>26</v>
      </c>
      <c r="AB217" s="23"/>
      <c r="AC217" s="11"/>
      <c r="AD217" s="22">
        <v>1</v>
      </c>
      <c r="AE217" s="22">
        <v>0.999</v>
      </c>
      <c r="AF217" s="22">
        <v>1.0009999999999999</v>
      </c>
      <c r="AG217" s="27">
        <f t="shared" si="116"/>
        <v>-1.0000000000000009E-3</v>
      </c>
      <c r="AH217" s="27">
        <f t="shared" si="117"/>
        <v>9.9999999999988987E-4</v>
      </c>
      <c r="AI217" s="38" t="s">
        <v>26</v>
      </c>
      <c r="AJ217" s="23"/>
      <c r="AK217" s="11"/>
      <c r="AL217" s="22">
        <v>1</v>
      </c>
      <c r="AM217" s="22">
        <v>1</v>
      </c>
      <c r="AN217" s="22">
        <v>1.0009999999999999</v>
      </c>
      <c r="AO217" s="27">
        <f t="shared" si="118"/>
        <v>0</v>
      </c>
      <c r="AP217" s="27">
        <f t="shared" si="119"/>
        <v>9.9999999999988987E-4</v>
      </c>
      <c r="AQ217" s="38" t="s">
        <v>26</v>
      </c>
      <c r="AR217" s="23"/>
      <c r="AS217" s="11"/>
      <c r="AT217" s="12"/>
    </row>
    <row r="218" spans="2:46" customFormat="1" ht="28.8" x14ac:dyDescent="0.3">
      <c r="B218" s="10" t="s">
        <v>501</v>
      </c>
      <c r="C218" s="61"/>
      <c r="D218" s="8" t="s">
        <v>320</v>
      </c>
      <c r="E218" s="8" t="s">
        <v>320</v>
      </c>
      <c r="F218" s="8" t="s">
        <v>544</v>
      </c>
      <c r="G218" s="8" t="s">
        <v>337</v>
      </c>
      <c r="H218" s="38" t="s">
        <v>26</v>
      </c>
      <c r="I218" s="2"/>
      <c r="J218" s="4">
        <v>1</v>
      </c>
      <c r="K218" s="4" t="s">
        <v>169</v>
      </c>
      <c r="L218" s="5">
        <v>3.3999999999999998E-3</v>
      </c>
      <c r="M218" s="2"/>
      <c r="N218" s="22">
        <v>1</v>
      </c>
      <c r="O218" s="22">
        <v>1</v>
      </c>
      <c r="P218" s="22">
        <v>1</v>
      </c>
      <c r="Q218" s="27">
        <f t="shared" si="112"/>
        <v>0</v>
      </c>
      <c r="R218" s="27">
        <f t="shared" si="113"/>
        <v>0</v>
      </c>
      <c r="S218" s="38" t="s">
        <v>26</v>
      </c>
      <c r="T218" s="23"/>
      <c r="U218" s="11"/>
      <c r="V218" s="22">
        <v>1</v>
      </c>
      <c r="W218" s="22">
        <v>0.999</v>
      </c>
      <c r="X218" s="22">
        <v>1.0009999999999999</v>
      </c>
      <c r="Y218" s="27">
        <f t="shared" si="114"/>
        <v>-1.0000000000000009E-3</v>
      </c>
      <c r="Z218" s="27">
        <f t="shared" si="115"/>
        <v>9.9999999999988987E-4</v>
      </c>
      <c r="AA218" s="38" t="s">
        <v>26</v>
      </c>
      <c r="AB218" s="23"/>
      <c r="AC218" s="11"/>
      <c r="AD218" s="22">
        <v>1</v>
      </c>
      <c r="AE218" s="22">
        <v>0.999</v>
      </c>
      <c r="AF218" s="22">
        <v>1.0009999999999999</v>
      </c>
      <c r="AG218" s="27">
        <f t="shared" si="116"/>
        <v>-1.0000000000000009E-3</v>
      </c>
      <c r="AH218" s="27">
        <f t="shared" si="117"/>
        <v>9.9999999999988987E-4</v>
      </c>
      <c r="AI218" s="38" t="s">
        <v>26</v>
      </c>
      <c r="AJ218" s="23"/>
      <c r="AK218" s="11"/>
      <c r="AL218" s="22">
        <v>1</v>
      </c>
      <c r="AM218" s="22">
        <v>1</v>
      </c>
      <c r="AN218" s="22">
        <v>1.002</v>
      </c>
      <c r="AO218" s="27">
        <f t="shared" si="118"/>
        <v>0</v>
      </c>
      <c r="AP218" s="27">
        <f t="shared" si="119"/>
        <v>2.0000000000000018E-3</v>
      </c>
      <c r="AQ218" s="38" t="s">
        <v>26</v>
      </c>
      <c r="AR218" s="23"/>
      <c r="AS218" s="11"/>
      <c r="AT218" s="12"/>
    </row>
    <row r="219" spans="2:46" customFormat="1" ht="28.8" x14ac:dyDescent="0.3">
      <c r="B219" s="10" t="s">
        <v>502</v>
      </c>
      <c r="C219" s="61"/>
      <c r="D219" s="8" t="s">
        <v>320</v>
      </c>
      <c r="E219" s="8" t="s">
        <v>320</v>
      </c>
      <c r="F219" s="8" t="s">
        <v>544</v>
      </c>
      <c r="G219" s="8" t="s">
        <v>324</v>
      </c>
      <c r="H219" s="38" t="s">
        <v>26</v>
      </c>
      <c r="I219" s="2"/>
      <c r="J219" s="4">
        <v>-1</v>
      </c>
      <c r="K219" s="4" t="s">
        <v>169</v>
      </c>
      <c r="L219" s="5">
        <v>3.3999999999999998E-3</v>
      </c>
      <c r="M219" s="2"/>
      <c r="N219" s="22">
        <v>-1</v>
      </c>
      <c r="O219" s="22">
        <v>-1.002</v>
      </c>
      <c r="P219" s="22">
        <v>-1.002</v>
      </c>
      <c r="Q219" s="27">
        <f t="shared" si="112"/>
        <v>2.0000000000000018E-3</v>
      </c>
      <c r="R219" s="27">
        <f t="shared" si="113"/>
        <v>2.0000000000000018E-3</v>
      </c>
      <c r="S219" s="38" t="s">
        <v>26</v>
      </c>
      <c r="T219" s="23"/>
      <c r="U219" s="11"/>
      <c r="V219" s="22">
        <v>-1</v>
      </c>
      <c r="W219" s="22">
        <v>-1.002</v>
      </c>
      <c r="X219" s="22">
        <v>-1.0009999999999999</v>
      </c>
      <c r="Y219" s="27">
        <f t="shared" si="114"/>
        <v>2.0000000000000018E-3</v>
      </c>
      <c r="Z219" s="27">
        <f t="shared" si="115"/>
        <v>9.9999999999988987E-4</v>
      </c>
      <c r="AA219" s="38" t="s">
        <v>26</v>
      </c>
      <c r="AB219" s="23"/>
      <c r="AC219" s="11"/>
      <c r="AD219" s="22">
        <v>-1</v>
      </c>
      <c r="AE219" s="22">
        <v>-1.002</v>
      </c>
      <c r="AF219" s="22">
        <v>-1.0009999999999999</v>
      </c>
      <c r="AG219" s="27">
        <f t="shared" si="116"/>
        <v>2.0000000000000018E-3</v>
      </c>
      <c r="AH219" s="27">
        <f t="shared" si="117"/>
        <v>9.9999999999988987E-4</v>
      </c>
      <c r="AI219" s="38" t="s">
        <v>26</v>
      </c>
      <c r="AJ219" s="23"/>
      <c r="AK219" s="11"/>
      <c r="AL219" s="22">
        <v>-1</v>
      </c>
      <c r="AM219" s="22">
        <v>-1</v>
      </c>
      <c r="AN219" s="22">
        <v>-1.0009999999999999</v>
      </c>
      <c r="AO219" s="27">
        <f t="shared" si="118"/>
        <v>0</v>
      </c>
      <c r="AP219" s="27">
        <f t="shared" si="119"/>
        <v>9.9999999999988987E-4</v>
      </c>
      <c r="AQ219" s="38" t="s">
        <v>26</v>
      </c>
      <c r="AR219" s="23"/>
      <c r="AS219" s="11"/>
      <c r="AT219" s="12"/>
    </row>
    <row r="220" spans="2:46" customFormat="1" ht="28.8" x14ac:dyDescent="0.3">
      <c r="B220" s="10" t="s">
        <v>503</v>
      </c>
      <c r="C220" s="61"/>
      <c r="D220" s="8" t="s">
        <v>320</v>
      </c>
      <c r="E220" s="8" t="s">
        <v>320</v>
      </c>
      <c r="F220" s="8" t="s">
        <v>544</v>
      </c>
      <c r="G220" s="8" t="s">
        <v>326</v>
      </c>
      <c r="H220" s="38" t="s">
        <v>26</v>
      </c>
      <c r="I220" s="2"/>
      <c r="J220" s="4">
        <v>-1</v>
      </c>
      <c r="K220" s="4" t="s">
        <v>169</v>
      </c>
      <c r="L220" s="5">
        <v>3.3999999999999998E-3</v>
      </c>
      <c r="M220" s="2"/>
      <c r="N220" s="22">
        <v>-1</v>
      </c>
      <c r="O220" s="22">
        <v>-1.002</v>
      </c>
      <c r="P220" s="22">
        <v>-1.002</v>
      </c>
      <c r="Q220" s="27">
        <f t="shared" si="112"/>
        <v>2.0000000000000018E-3</v>
      </c>
      <c r="R220" s="27">
        <f t="shared" si="113"/>
        <v>2.0000000000000018E-3</v>
      </c>
      <c r="S220" s="38" t="s">
        <v>26</v>
      </c>
      <c r="T220" s="23"/>
      <c r="U220" s="11"/>
      <c r="V220" s="22">
        <v>-1</v>
      </c>
      <c r="W220" s="22">
        <v>-1.002</v>
      </c>
      <c r="X220" s="22">
        <v>-1.0009999999999999</v>
      </c>
      <c r="Y220" s="27">
        <f t="shared" si="114"/>
        <v>2.0000000000000018E-3</v>
      </c>
      <c r="Z220" s="27">
        <f t="shared" si="115"/>
        <v>9.9999999999988987E-4</v>
      </c>
      <c r="AA220" s="38" t="s">
        <v>26</v>
      </c>
      <c r="AB220" s="23"/>
      <c r="AC220" s="11"/>
      <c r="AD220" s="22">
        <v>-1</v>
      </c>
      <c r="AE220" s="22">
        <v>-1.002</v>
      </c>
      <c r="AF220" s="22">
        <v>-1.0009999999999999</v>
      </c>
      <c r="AG220" s="27">
        <f t="shared" si="116"/>
        <v>2.0000000000000018E-3</v>
      </c>
      <c r="AH220" s="27">
        <f t="shared" si="117"/>
        <v>9.9999999999988987E-4</v>
      </c>
      <c r="AI220" s="38" t="s">
        <v>26</v>
      </c>
      <c r="AJ220" s="23"/>
      <c r="AK220" s="11"/>
      <c r="AL220" s="22">
        <v>-1</v>
      </c>
      <c r="AM220" s="22">
        <v>-1.002</v>
      </c>
      <c r="AN220" s="22">
        <v>-1.0009999999999999</v>
      </c>
      <c r="AO220" s="27">
        <f t="shared" si="118"/>
        <v>2.0000000000000018E-3</v>
      </c>
      <c r="AP220" s="27">
        <f t="shared" si="119"/>
        <v>9.9999999999988987E-4</v>
      </c>
      <c r="AQ220" s="38" t="s">
        <v>26</v>
      </c>
      <c r="AR220" s="23"/>
      <c r="AS220" s="11"/>
      <c r="AT220" s="12"/>
    </row>
    <row r="221" spans="2:46" customFormat="1" ht="28.8" x14ac:dyDescent="0.3">
      <c r="B221" s="10" t="s">
        <v>504</v>
      </c>
      <c r="C221" s="61"/>
      <c r="D221" s="8" t="s">
        <v>320</v>
      </c>
      <c r="E221" s="8" t="s">
        <v>320</v>
      </c>
      <c r="F221" s="8" t="s">
        <v>544</v>
      </c>
      <c r="G221" s="8" t="s">
        <v>328</v>
      </c>
      <c r="H221" s="38" t="s">
        <v>26</v>
      </c>
      <c r="I221" s="2"/>
      <c r="J221" s="4">
        <v>-1</v>
      </c>
      <c r="K221" s="4" t="s">
        <v>169</v>
      </c>
      <c r="L221" s="5">
        <v>3.3999999999999998E-3</v>
      </c>
      <c r="M221" s="2"/>
      <c r="N221" s="22">
        <v>-1</v>
      </c>
      <c r="O221" s="22">
        <v>-1.002</v>
      </c>
      <c r="P221" s="22">
        <v>-1.002</v>
      </c>
      <c r="Q221" s="27">
        <f t="shared" si="112"/>
        <v>2.0000000000000018E-3</v>
      </c>
      <c r="R221" s="27">
        <f t="shared" si="113"/>
        <v>2.0000000000000018E-3</v>
      </c>
      <c r="S221" s="38" t="s">
        <v>26</v>
      </c>
      <c r="T221" s="23"/>
      <c r="U221" s="11"/>
      <c r="V221" s="22">
        <v>-1</v>
      </c>
      <c r="W221" s="22">
        <v>-1.002</v>
      </c>
      <c r="X221" s="22">
        <v>-1.0009999999999999</v>
      </c>
      <c r="Y221" s="27">
        <f t="shared" si="114"/>
        <v>2.0000000000000018E-3</v>
      </c>
      <c r="Z221" s="27">
        <f t="shared" si="115"/>
        <v>9.9999999999988987E-4</v>
      </c>
      <c r="AA221" s="38" t="s">
        <v>26</v>
      </c>
      <c r="AB221" s="23"/>
      <c r="AC221" s="11"/>
      <c r="AD221" s="22">
        <v>-1</v>
      </c>
      <c r="AE221" s="22">
        <v>-1.002</v>
      </c>
      <c r="AF221" s="22">
        <v>-1.0009999999999999</v>
      </c>
      <c r="AG221" s="27">
        <f t="shared" si="116"/>
        <v>2.0000000000000018E-3</v>
      </c>
      <c r="AH221" s="27">
        <f t="shared" si="117"/>
        <v>9.9999999999988987E-4</v>
      </c>
      <c r="AI221" s="38" t="s">
        <v>26</v>
      </c>
      <c r="AJ221" s="23"/>
      <c r="AK221" s="11"/>
      <c r="AL221" s="22">
        <v>-1</v>
      </c>
      <c r="AM221" s="22">
        <v>-1.0029999999999999</v>
      </c>
      <c r="AN221" s="22">
        <v>-1.002</v>
      </c>
      <c r="AO221" s="27">
        <f t="shared" si="118"/>
        <v>2.9999999999998916E-3</v>
      </c>
      <c r="AP221" s="27">
        <f t="shared" si="119"/>
        <v>2.0000000000000018E-3</v>
      </c>
      <c r="AQ221" s="38" t="s">
        <v>26</v>
      </c>
      <c r="AR221" s="23"/>
      <c r="AS221" s="11"/>
      <c r="AT221" s="12"/>
    </row>
    <row r="222" spans="2:46" customFormat="1" ht="28.8" x14ac:dyDescent="0.3">
      <c r="B222" s="10" t="s">
        <v>505</v>
      </c>
      <c r="C222" s="61"/>
      <c r="D222" s="8" t="s">
        <v>320</v>
      </c>
      <c r="E222" s="8" t="s">
        <v>320</v>
      </c>
      <c r="F222" s="8" t="s">
        <v>544</v>
      </c>
      <c r="G222" s="8" t="s">
        <v>330</v>
      </c>
      <c r="H222" s="38" t="s">
        <v>26</v>
      </c>
      <c r="I222" s="2"/>
      <c r="J222" s="4">
        <v>-1</v>
      </c>
      <c r="K222" s="4" t="s">
        <v>169</v>
      </c>
      <c r="L222" s="5">
        <v>3.3999999999999998E-3</v>
      </c>
      <c r="M222" s="2"/>
      <c r="N222" s="22">
        <v>-1</v>
      </c>
      <c r="O222" s="22">
        <v>-1.002</v>
      </c>
      <c r="P222" s="22">
        <v>-1.002</v>
      </c>
      <c r="Q222" s="27">
        <f t="shared" si="112"/>
        <v>2.0000000000000018E-3</v>
      </c>
      <c r="R222" s="27">
        <f t="shared" si="113"/>
        <v>2.0000000000000018E-3</v>
      </c>
      <c r="S222" s="38" t="s">
        <v>26</v>
      </c>
      <c r="T222" s="23"/>
      <c r="U222" s="11"/>
      <c r="V222" s="22">
        <v>-1</v>
      </c>
      <c r="W222" s="22">
        <v>-1.002</v>
      </c>
      <c r="X222" s="22">
        <v>-1.0009999999999999</v>
      </c>
      <c r="Y222" s="27">
        <f t="shared" si="114"/>
        <v>2.0000000000000018E-3</v>
      </c>
      <c r="Z222" s="27">
        <f t="shared" si="115"/>
        <v>9.9999999999988987E-4</v>
      </c>
      <c r="AA222" s="38" t="s">
        <v>26</v>
      </c>
      <c r="AB222" s="23"/>
      <c r="AC222" s="11"/>
      <c r="AD222" s="22">
        <v>-1</v>
      </c>
      <c r="AE222" s="22">
        <v>-1.002</v>
      </c>
      <c r="AF222" s="22">
        <v>-1.0009999999999999</v>
      </c>
      <c r="AG222" s="27">
        <f t="shared" si="116"/>
        <v>2.0000000000000018E-3</v>
      </c>
      <c r="AH222" s="27">
        <f t="shared" si="117"/>
        <v>9.9999999999988987E-4</v>
      </c>
      <c r="AI222" s="38" t="s">
        <v>26</v>
      </c>
      <c r="AJ222" s="23"/>
      <c r="AK222" s="11"/>
      <c r="AL222" s="22">
        <v>-1</v>
      </c>
      <c r="AM222" s="22">
        <v>-1.004</v>
      </c>
      <c r="AN222" s="22">
        <v>-1.002</v>
      </c>
      <c r="AO222" s="27">
        <f t="shared" si="118"/>
        <v>4.0000000000000036E-3</v>
      </c>
      <c r="AP222" s="27">
        <f t="shared" si="119"/>
        <v>2.0000000000000018E-3</v>
      </c>
      <c r="AQ222" s="38" t="s">
        <v>26</v>
      </c>
      <c r="AR222" s="23"/>
      <c r="AS222" s="11"/>
      <c r="AT222" s="12"/>
    </row>
    <row r="223" spans="2:46" customFormat="1" ht="28.8" x14ac:dyDescent="0.3">
      <c r="B223" s="10" t="s">
        <v>506</v>
      </c>
      <c r="C223" s="61"/>
      <c r="D223" s="8" t="s">
        <v>320</v>
      </c>
      <c r="E223" s="8" t="s">
        <v>320</v>
      </c>
      <c r="F223" s="8" t="s">
        <v>544</v>
      </c>
      <c r="G223" s="8" t="s">
        <v>332</v>
      </c>
      <c r="H223" s="38" t="s">
        <v>26</v>
      </c>
      <c r="I223" s="2"/>
      <c r="J223" s="4">
        <v>-1</v>
      </c>
      <c r="K223" s="4" t="s">
        <v>169</v>
      </c>
      <c r="L223" s="5">
        <v>3.3999999999999998E-3</v>
      </c>
      <c r="M223" s="2"/>
      <c r="N223" s="22">
        <v>-1</v>
      </c>
      <c r="O223" s="22">
        <v>-1.002</v>
      </c>
      <c r="P223" s="22">
        <v>-1.002</v>
      </c>
      <c r="Q223" s="27">
        <f t="shared" si="112"/>
        <v>2.0000000000000018E-3</v>
      </c>
      <c r="R223" s="27">
        <f t="shared" si="113"/>
        <v>2.0000000000000018E-3</v>
      </c>
      <c r="S223" s="38" t="s">
        <v>26</v>
      </c>
      <c r="T223" s="23"/>
      <c r="U223" s="11"/>
      <c r="V223" s="22">
        <v>-1</v>
      </c>
      <c r="W223" s="22">
        <v>-1.002</v>
      </c>
      <c r="X223" s="22">
        <v>-1.0009999999999999</v>
      </c>
      <c r="Y223" s="27">
        <f t="shared" si="114"/>
        <v>2.0000000000000018E-3</v>
      </c>
      <c r="Z223" s="27">
        <f t="shared" si="115"/>
        <v>9.9999999999988987E-4</v>
      </c>
      <c r="AA223" s="38" t="s">
        <v>26</v>
      </c>
      <c r="AB223" s="23"/>
      <c r="AC223" s="11"/>
      <c r="AD223" s="22">
        <v>-1</v>
      </c>
      <c r="AE223" s="22">
        <v>-1.002</v>
      </c>
      <c r="AF223" s="22">
        <v>-1.0009999999999999</v>
      </c>
      <c r="AG223" s="27">
        <f t="shared" si="116"/>
        <v>2.0000000000000018E-3</v>
      </c>
      <c r="AH223" s="27">
        <f t="shared" si="117"/>
        <v>9.9999999999988987E-4</v>
      </c>
      <c r="AI223" s="38" t="s">
        <v>26</v>
      </c>
      <c r="AJ223" s="23"/>
      <c r="AK223" s="11"/>
      <c r="AL223" s="22">
        <v>-1</v>
      </c>
      <c r="AM223" s="22">
        <v>-1.004</v>
      </c>
      <c r="AN223" s="22">
        <v>-1.002</v>
      </c>
      <c r="AO223" s="27">
        <f t="shared" si="118"/>
        <v>4.0000000000000036E-3</v>
      </c>
      <c r="AP223" s="27">
        <f t="shared" si="119"/>
        <v>2.0000000000000018E-3</v>
      </c>
      <c r="AQ223" s="38" t="s">
        <v>26</v>
      </c>
      <c r="AR223" s="23"/>
      <c r="AS223" s="11"/>
      <c r="AT223" s="12"/>
    </row>
    <row r="224" spans="2:46" customFormat="1" ht="28.8" x14ac:dyDescent="0.3">
      <c r="B224" s="10" t="s">
        <v>507</v>
      </c>
      <c r="C224" s="61"/>
      <c r="D224" s="8" t="s">
        <v>320</v>
      </c>
      <c r="E224" s="8" t="s">
        <v>320</v>
      </c>
      <c r="F224" s="8" t="s">
        <v>544</v>
      </c>
      <c r="G224" s="8" t="s">
        <v>334</v>
      </c>
      <c r="H224" s="38" t="s">
        <v>26</v>
      </c>
      <c r="I224" s="2"/>
      <c r="J224" s="4">
        <v>-1</v>
      </c>
      <c r="K224" s="4" t="s">
        <v>169</v>
      </c>
      <c r="L224" s="5">
        <v>3.3999999999999998E-3</v>
      </c>
      <c r="M224" s="2"/>
      <c r="N224" s="22">
        <v>-1</v>
      </c>
      <c r="O224" s="22">
        <v>-1.002</v>
      </c>
      <c r="P224" s="22">
        <v>-1.002</v>
      </c>
      <c r="Q224" s="27">
        <f t="shared" si="112"/>
        <v>2.0000000000000018E-3</v>
      </c>
      <c r="R224" s="27">
        <f t="shared" si="113"/>
        <v>2.0000000000000018E-3</v>
      </c>
      <c r="S224" s="38" t="s">
        <v>26</v>
      </c>
      <c r="T224" s="23"/>
      <c r="U224" s="11"/>
      <c r="V224" s="22">
        <v>-1</v>
      </c>
      <c r="W224" s="22">
        <v>-1.002</v>
      </c>
      <c r="X224" s="22">
        <v>-1.0009999999999999</v>
      </c>
      <c r="Y224" s="27">
        <f t="shared" si="114"/>
        <v>2.0000000000000018E-3</v>
      </c>
      <c r="Z224" s="27">
        <f t="shared" si="115"/>
        <v>9.9999999999988987E-4</v>
      </c>
      <c r="AA224" s="38" t="s">
        <v>26</v>
      </c>
      <c r="AB224" s="23"/>
      <c r="AC224" s="11"/>
      <c r="AD224" s="22">
        <v>-1</v>
      </c>
      <c r="AE224" s="22">
        <v>-1.002</v>
      </c>
      <c r="AF224" s="22">
        <v>-1.0009999999999999</v>
      </c>
      <c r="AG224" s="27">
        <f t="shared" si="116"/>
        <v>2.0000000000000018E-3</v>
      </c>
      <c r="AH224" s="27">
        <f t="shared" si="117"/>
        <v>9.9999999999988987E-4</v>
      </c>
      <c r="AI224" s="38" t="s">
        <v>26</v>
      </c>
      <c r="AJ224" s="23"/>
      <c r="AK224" s="11"/>
      <c r="AL224" s="22">
        <v>-1</v>
      </c>
      <c r="AM224" s="22">
        <v>-1.002</v>
      </c>
      <c r="AN224" s="22">
        <v>-1.0009999999999999</v>
      </c>
      <c r="AO224" s="27">
        <f t="shared" si="118"/>
        <v>2.0000000000000018E-3</v>
      </c>
      <c r="AP224" s="27">
        <f t="shared" si="119"/>
        <v>9.9999999999988987E-4</v>
      </c>
      <c r="AQ224" s="38" t="s">
        <v>26</v>
      </c>
      <c r="AR224" s="23"/>
      <c r="AS224" s="11"/>
      <c r="AT224" s="12"/>
    </row>
    <row r="225" spans="2:46" customFormat="1" ht="28.8" x14ac:dyDescent="0.3">
      <c r="B225" s="10" t="s">
        <v>508</v>
      </c>
      <c r="C225" s="61"/>
      <c r="D225" s="8" t="s">
        <v>320</v>
      </c>
      <c r="E225" s="8" t="s">
        <v>320</v>
      </c>
      <c r="F225" s="8" t="s">
        <v>544</v>
      </c>
      <c r="G225" s="8" t="s">
        <v>336</v>
      </c>
      <c r="H225" s="38" t="s">
        <v>26</v>
      </c>
      <c r="I225" s="2"/>
      <c r="J225" s="4">
        <v>-1</v>
      </c>
      <c r="K225" s="4" t="s">
        <v>169</v>
      </c>
      <c r="L225" s="5">
        <v>3.3999999999999998E-3</v>
      </c>
      <c r="M225" s="2"/>
      <c r="N225" s="22">
        <v>-1</v>
      </c>
      <c r="O225" s="22">
        <v>-1.002</v>
      </c>
      <c r="P225" s="22">
        <v>-1.002</v>
      </c>
      <c r="Q225" s="27">
        <f t="shared" si="112"/>
        <v>2.0000000000000018E-3</v>
      </c>
      <c r="R225" s="27">
        <f t="shared" si="113"/>
        <v>2.0000000000000018E-3</v>
      </c>
      <c r="S225" s="38" t="s">
        <v>26</v>
      </c>
      <c r="T225" s="23"/>
      <c r="U225" s="11"/>
      <c r="V225" s="22">
        <v>-1</v>
      </c>
      <c r="W225" s="22">
        <v>-1.002</v>
      </c>
      <c r="X225" s="22">
        <v>-1.0009999999999999</v>
      </c>
      <c r="Y225" s="27">
        <f t="shared" si="114"/>
        <v>2.0000000000000018E-3</v>
      </c>
      <c r="Z225" s="27">
        <f t="shared" si="115"/>
        <v>9.9999999999988987E-4</v>
      </c>
      <c r="AA225" s="38" t="s">
        <v>26</v>
      </c>
      <c r="AB225" s="23"/>
      <c r="AC225" s="11"/>
      <c r="AD225" s="22">
        <v>-1</v>
      </c>
      <c r="AE225" s="22">
        <v>-1.002</v>
      </c>
      <c r="AF225" s="22">
        <v>-1.0009999999999999</v>
      </c>
      <c r="AG225" s="27">
        <f t="shared" si="116"/>
        <v>2.0000000000000018E-3</v>
      </c>
      <c r="AH225" s="27">
        <f t="shared" si="117"/>
        <v>9.9999999999988987E-4</v>
      </c>
      <c r="AI225" s="38" t="s">
        <v>26</v>
      </c>
      <c r="AJ225" s="23"/>
      <c r="AK225" s="11"/>
      <c r="AL225" s="22">
        <v>-1</v>
      </c>
      <c r="AM225" s="22">
        <v>-1.0029999999999999</v>
      </c>
      <c r="AN225" s="22">
        <v>-1.002</v>
      </c>
      <c r="AO225" s="27">
        <f t="shared" si="118"/>
        <v>2.9999999999998916E-3</v>
      </c>
      <c r="AP225" s="27">
        <f t="shared" si="119"/>
        <v>2.0000000000000018E-3</v>
      </c>
      <c r="AQ225" s="38" t="s">
        <v>26</v>
      </c>
      <c r="AR225" s="23"/>
      <c r="AS225" s="11"/>
      <c r="AT225" s="12"/>
    </row>
    <row r="226" spans="2:46" customFormat="1" ht="28.8" x14ac:dyDescent="0.3">
      <c r="B226" s="10" t="s">
        <v>509</v>
      </c>
      <c r="C226" s="61"/>
      <c r="D226" s="8" t="s">
        <v>320</v>
      </c>
      <c r="E226" s="8" t="s">
        <v>320</v>
      </c>
      <c r="F226" s="8" t="s">
        <v>544</v>
      </c>
      <c r="G226" s="8" t="s">
        <v>338</v>
      </c>
      <c r="H226" s="38" t="s">
        <v>26</v>
      </c>
      <c r="I226" s="2"/>
      <c r="J226" s="4">
        <v>-1</v>
      </c>
      <c r="K226" s="4" t="s">
        <v>169</v>
      </c>
      <c r="L226" s="5">
        <v>3.3999999999999998E-3</v>
      </c>
      <c r="M226" s="2"/>
      <c r="N226" s="22">
        <v>-1</v>
      </c>
      <c r="O226" s="22">
        <v>-1.002</v>
      </c>
      <c r="P226" s="22">
        <v>-1.002</v>
      </c>
      <c r="Q226" s="27">
        <f t="shared" si="112"/>
        <v>2.0000000000000018E-3</v>
      </c>
      <c r="R226" s="27">
        <f t="shared" si="113"/>
        <v>2.0000000000000018E-3</v>
      </c>
      <c r="S226" s="38" t="s">
        <v>26</v>
      </c>
      <c r="T226" s="23"/>
      <c r="U226" s="11"/>
      <c r="V226" s="22">
        <v>-1</v>
      </c>
      <c r="W226" s="22">
        <v>-1.002</v>
      </c>
      <c r="X226" s="22">
        <v>-1.0009999999999999</v>
      </c>
      <c r="Y226" s="27">
        <f t="shared" si="114"/>
        <v>2.0000000000000018E-3</v>
      </c>
      <c r="Z226" s="27">
        <f t="shared" si="115"/>
        <v>9.9999999999988987E-4</v>
      </c>
      <c r="AA226" s="38" t="s">
        <v>26</v>
      </c>
      <c r="AB226" s="23"/>
      <c r="AC226" s="11"/>
      <c r="AD226" s="22">
        <v>-1</v>
      </c>
      <c r="AE226" s="22">
        <v>-1.002</v>
      </c>
      <c r="AF226" s="22">
        <v>-1.0009999999999999</v>
      </c>
      <c r="AG226" s="27">
        <f t="shared" si="116"/>
        <v>2.0000000000000018E-3</v>
      </c>
      <c r="AH226" s="27">
        <f t="shared" si="117"/>
        <v>9.9999999999988987E-4</v>
      </c>
      <c r="AI226" s="38" t="s">
        <v>26</v>
      </c>
      <c r="AJ226" s="23"/>
      <c r="AK226" s="11"/>
      <c r="AL226" s="22">
        <v>-1</v>
      </c>
      <c r="AM226" s="22">
        <v>-1.002</v>
      </c>
      <c r="AN226" s="22">
        <v>-1</v>
      </c>
      <c r="AO226" s="27">
        <f t="shared" si="118"/>
        <v>2.0000000000000018E-3</v>
      </c>
      <c r="AP226" s="27">
        <f t="shared" si="119"/>
        <v>0</v>
      </c>
      <c r="AQ226" s="38" t="s">
        <v>26</v>
      </c>
      <c r="AR226" s="23"/>
      <c r="AS226" s="11"/>
      <c r="AT226" s="12"/>
    </row>
    <row r="227" spans="2:46" customFormat="1" ht="28.8" x14ac:dyDescent="0.3">
      <c r="B227" s="10" t="s">
        <v>510</v>
      </c>
      <c r="C227" s="61"/>
      <c r="D227" s="8" t="s">
        <v>320</v>
      </c>
      <c r="E227" s="8" t="s">
        <v>320</v>
      </c>
      <c r="F227" s="8" t="s">
        <v>551</v>
      </c>
      <c r="G227" s="8" t="s">
        <v>323</v>
      </c>
      <c r="H227" s="38" t="s">
        <v>26</v>
      </c>
      <c r="I227" s="2"/>
      <c r="J227" s="4">
        <v>2</v>
      </c>
      <c r="K227" s="4" t="s">
        <v>169</v>
      </c>
      <c r="L227" s="5">
        <v>2.2000000000000001E-3</v>
      </c>
      <c r="M227" s="2"/>
      <c r="N227" s="22">
        <v>2</v>
      </c>
      <c r="O227" s="22">
        <v>2</v>
      </c>
      <c r="P227" s="22">
        <v>2</v>
      </c>
      <c r="Q227" s="27">
        <f t="shared" ref="Q227:Q289" si="120">(O227-N227)/N227</f>
        <v>0</v>
      </c>
      <c r="R227" s="27">
        <f t="shared" ref="R227:R289" si="121">(P227-N227)/N227</f>
        <v>0</v>
      </c>
      <c r="S227" s="38" t="s">
        <v>26</v>
      </c>
      <c r="T227" s="23"/>
      <c r="U227" s="11"/>
      <c r="V227" s="22">
        <v>2</v>
      </c>
      <c r="W227" s="22">
        <v>1.998</v>
      </c>
      <c r="X227" s="22">
        <v>2.0009999999999999</v>
      </c>
      <c r="Y227" s="27">
        <f t="shared" ref="Y227:Y289" si="122">(W227-V227)/V227</f>
        <v>-1.0000000000000009E-3</v>
      </c>
      <c r="Z227" s="27">
        <f t="shared" ref="Z227:Z290" si="123">(X227-V227)/V227</f>
        <v>4.9999999999994493E-4</v>
      </c>
      <c r="AA227" s="38" t="s">
        <v>26</v>
      </c>
      <c r="AB227" s="23"/>
      <c r="AC227" s="11"/>
      <c r="AD227" s="22">
        <v>2</v>
      </c>
      <c r="AE227" s="22">
        <v>1.998</v>
      </c>
      <c r="AF227" s="22">
        <v>2.0009999999999999</v>
      </c>
      <c r="AG227" s="27">
        <f t="shared" ref="AG227:AG289" si="124">(AE227-AD227)/AD227</f>
        <v>-1.0000000000000009E-3</v>
      </c>
      <c r="AH227" s="27">
        <f t="shared" ref="AH227:AH290" si="125">(AF227-AD227)/AD227</f>
        <v>4.9999999999994493E-4</v>
      </c>
      <c r="AI227" s="38" t="s">
        <v>26</v>
      </c>
      <c r="AJ227" s="23"/>
      <c r="AK227" s="11"/>
      <c r="AL227" s="22">
        <v>2</v>
      </c>
      <c r="AM227" s="22">
        <v>1.998</v>
      </c>
      <c r="AN227" s="22">
        <v>2</v>
      </c>
      <c r="AO227" s="27">
        <f t="shared" ref="AO227:AO282" si="126">(AM227-AL227)/AL227</f>
        <v>-1.0000000000000009E-3</v>
      </c>
      <c r="AP227" s="27">
        <f t="shared" ref="AP227:AP282" si="127">(AN227-AL227)/AL227</f>
        <v>0</v>
      </c>
      <c r="AQ227" s="38" t="s">
        <v>26</v>
      </c>
      <c r="AR227" s="22">
        <f>MIN(AM227:AN234)</f>
        <v>1.998</v>
      </c>
      <c r="AS227" s="11"/>
      <c r="AT227" s="12"/>
    </row>
    <row r="228" spans="2:46" customFormat="1" ht="28.8" x14ac:dyDescent="0.3">
      <c r="B228" s="10" t="s">
        <v>511</v>
      </c>
      <c r="C228" s="61"/>
      <c r="D228" s="8" t="s">
        <v>320</v>
      </c>
      <c r="E228" s="8" t="s">
        <v>320</v>
      </c>
      <c r="F228" s="8" t="s">
        <v>551</v>
      </c>
      <c r="G228" s="8" t="s">
        <v>325</v>
      </c>
      <c r="H228" s="38" t="s">
        <v>26</v>
      </c>
      <c r="I228" s="2"/>
      <c r="J228" s="4">
        <v>2</v>
      </c>
      <c r="K228" s="4" t="s">
        <v>169</v>
      </c>
      <c r="L228" s="5">
        <v>2.2000000000000001E-3</v>
      </c>
      <c r="M228" s="2"/>
      <c r="N228" s="22">
        <v>2</v>
      </c>
      <c r="O228" s="22">
        <v>2</v>
      </c>
      <c r="P228" s="22">
        <v>2.0009999999999999</v>
      </c>
      <c r="Q228" s="27">
        <f t="shared" si="120"/>
        <v>0</v>
      </c>
      <c r="R228" s="27">
        <f t="shared" si="121"/>
        <v>4.9999999999994493E-4</v>
      </c>
      <c r="S228" s="38" t="s">
        <v>26</v>
      </c>
      <c r="T228" s="23"/>
      <c r="U228" s="11"/>
      <c r="V228" s="22">
        <v>2</v>
      </c>
      <c r="W228" s="22">
        <v>1.998</v>
      </c>
      <c r="X228" s="22">
        <v>2.0009999999999999</v>
      </c>
      <c r="Y228" s="27">
        <f t="shared" si="122"/>
        <v>-1.0000000000000009E-3</v>
      </c>
      <c r="Z228" s="27">
        <f t="shared" si="123"/>
        <v>4.9999999999994493E-4</v>
      </c>
      <c r="AA228" s="38" t="s">
        <v>26</v>
      </c>
      <c r="AB228" s="23"/>
      <c r="AC228" s="11"/>
      <c r="AD228" s="22">
        <v>2</v>
      </c>
      <c r="AE228" s="22">
        <v>1.998</v>
      </c>
      <c r="AF228" s="22">
        <v>2.0009999999999999</v>
      </c>
      <c r="AG228" s="27">
        <f t="shared" si="124"/>
        <v>-1.0000000000000009E-3</v>
      </c>
      <c r="AH228" s="27">
        <f t="shared" si="125"/>
        <v>4.9999999999994493E-4</v>
      </c>
      <c r="AI228" s="38" t="s">
        <v>26</v>
      </c>
      <c r="AJ228" s="23"/>
      <c r="AK228" s="11"/>
      <c r="AL228" s="22">
        <v>2</v>
      </c>
      <c r="AM228" s="22">
        <v>1.998</v>
      </c>
      <c r="AN228" s="22">
        <v>2</v>
      </c>
      <c r="AO228" s="27">
        <f t="shared" si="126"/>
        <v>-1.0000000000000009E-3</v>
      </c>
      <c r="AP228" s="27">
        <f t="shared" si="127"/>
        <v>0</v>
      </c>
      <c r="AQ228" s="38" t="s">
        <v>26</v>
      </c>
      <c r="AR228" s="22">
        <f>MAX(AM227:AN234)</f>
        <v>2.0030000000000001</v>
      </c>
      <c r="AS228" s="11"/>
      <c r="AT228" s="12"/>
    </row>
    <row r="229" spans="2:46" customFormat="1" ht="28.8" x14ac:dyDescent="0.3">
      <c r="B229" s="10" t="s">
        <v>512</v>
      </c>
      <c r="C229" s="61"/>
      <c r="D229" s="8" t="s">
        <v>320</v>
      </c>
      <c r="E229" s="8" t="s">
        <v>320</v>
      </c>
      <c r="F229" s="8" t="s">
        <v>551</v>
      </c>
      <c r="G229" s="8" t="s">
        <v>327</v>
      </c>
      <c r="H229" s="38" t="s">
        <v>26</v>
      </c>
      <c r="I229" s="2"/>
      <c r="J229" s="4">
        <v>2</v>
      </c>
      <c r="K229" s="4" t="s">
        <v>169</v>
      </c>
      <c r="L229" s="5">
        <v>2.2000000000000001E-3</v>
      </c>
      <c r="M229" s="2"/>
      <c r="N229" s="22">
        <v>2</v>
      </c>
      <c r="O229" s="22">
        <v>2</v>
      </c>
      <c r="P229" s="22">
        <v>2.0009999999999999</v>
      </c>
      <c r="Q229" s="27">
        <f t="shared" si="120"/>
        <v>0</v>
      </c>
      <c r="R229" s="27">
        <f t="shared" si="121"/>
        <v>4.9999999999994493E-4</v>
      </c>
      <c r="S229" s="38" t="s">
        <v>26</v>
      </c>
      <c r="T229" s="23"/>
      <c r="U229" s="11"/>
      <c r="V229" s="22">
        <v>2</v>
      </c>
      <c r="W229" s="22">
        <v>1.998</v>
      </c>
      <c r="X229" s="22">
        <v>2.0009999999999999</v>
      </c>
      <c r="Y229" s="27">
        <f t="shared" si="122"/>
        <v>-1.0000000000000009E-3</v>
      </c>
      <c r="Z229" s="27">
        <f t="shared" si="123"/>
        <v>4.9999999999994493E-4</v>
      </c>
      <c r="AA229" s="38" t="s">
        <v>26</v>
      </c>
      <c r="AB229" s="23"/>
      <c r="AC229" s="11"/>
      <c r="AD229" s="22">
        <v>2</v>
      </c>
      <c r="AE229" s="22">
        <v>1.998</v>
      </c>
      <c r="AF229" s="22">
        <v>2.0009999999999999</v>
      </c>
      <c r="AG229" s="27">
        <f t="shared" si="124"/>
        <v>-1.0000000000000009E-3</v>
      </c>
      <c r="AH229" s="27">
        <f t="shared" si="125"/>
        <v>4.9999999999994493E-4</v>
      </c>
      <c r="AI229" s="38" t="s">
        <v>26</v>
      </c>
      <c r="AJ229" s="23"/>
      <c r="AK229" s="11"/>
      <c r="AL229" s="22">
        <v>2</v>
      </c>
      <c r="AM229" s="22">
        <v>2</v>
      </c>
      <c r="AN229" s="22">
        <v>2.0019999999999998</v>
      </c>
      <c r="AO229" s="27">
        <f t="shared" si="126"/>
        <v>0</v>
      </c>
      <c r="AP229" s="27">
        <f t="shared" si="127"/>
        <v>9.9999999999988987E-4</v>
      </c>
      <c r="AQ229" s="38" t="s">
        <v>26</v>
      </c>
      <c r="AR229" s="23"/>
      <c r="AS229" s="11"/>
      <c r="AT229" s="12"/>
    </row>
    <row r="230" spans="2:46" customFormat="1" ht="28.8" x14ac:dyDescent="0.3">
      <c r="B230" s="10" t="s">
        <v>513</v>
      </c>
      <c r="C230" s="61"/>
      <c r="D230" s="8" t="s">
        <v>320</v>
      </c>
      <c r="E230" s="8" t="s">
        <v>320</v>
      </c>
      <c r="F230" s="8" t="s">
        <v>551</v>
      </c>
      <c r="G230" s="8" t="s">
        <v>329</v>
      </c>
      <c r="H230" s="38" t="s">
        <v>26</v>
      </c>
      <c r="I230" s="2"/>
      <c r="J230" s="4">
        <v>2</v>
      </c>
      <c r="K230" s="4" t="s">
        <v>169</v>
      </c>
      <c r="L230" s="5">
        <v>2.2000000000000001E-3</v>
      </c>
      <c r="M230" s="2"/>
      <c r="N230" s="22">
        <v>2</v>
      </c>
      <c r="O230" s="22">
        <v>2</v>
      </c>
      <c r="P230" s="22">
        <v>2.0009999999999999</v>
      </c>
      <c r="Q230" s="27">
        <f t="shared" si="120"/>
        <v>0</v>
      </c>
      <c r="R230" s="27">
        <f t="shared" si="121"/>
        <v>4.9999999999994493E-4</v>
      </c>
      <c r="S230" s="38" t="s">
        <v>26</v>
      </c>
      <c r="T230" s="23"/>
      <c r="U230" s="11"/>
      <c r="V230" s="22">
        <v>2</v>
      </c>
      <c r="W230" s="22">
        <v>1.998</v>
      </c>
      <c r="X230" s="22">
        <v>2.0009999999999999</v>
      </c>
      <c r="Y230" s="27">
        <f t="shared" si="122"/>
        <v>-1.0000000000000009E-3</v>
      </c>
      <c r="Z230" s="27">
        <f t="shared" si="123"/>
        <v>4.9999999999994493E-4</v>
      </c>
      <c r="AA230" s="38" t="s">
        <v>26</v>
      </c>
      <c r="AB230" s="23"/>
      <c r="AC230" s="11"/>
      <c r="AD230" s="22">
        <v>2</v>
      </c>
      <c r="AE230" s="22">
        <v>1.998</v>
      </c>
      <c r="AF230" s="22">
        <v>2.0009999999999999</v>
      </c>
      <c r="AG230" s="27">
        <f t="shared" si="124"/>
        <v>-1.0000000000000009E-3</v>
      </c>
      <c r="AH230" s="27">
        <f t="shared" si="125"/>
        <v>4.9999999999994493E-4</v>
      </c>
      <c r="AI230" s="38" t="s">
        <v>26</v>
      </c>
      <c r="AJ230" s="23"/>
      <c r="AK230" s="11"/>
      <c r="AL230" s="22">
        <v>2</v>
      </c>
      <c r="AM230" s="22">
        <v>2.0009999999999999</v>
      </c>
      <c r="AN230" s="22">
        <v>2.0030000000000001</v>
      </c>
      <c r="AO230" s="27">
        <f t="shared" si="126"/>
        <v>4.9999999999994493E-4</v>
      </c>
      <c r="AP230" s="27">
        <f t="shared" si="127"/>
        <v>1.5000000000000568E-3</v>
      </c>
      <c r="AQ230" s="38" t="s">
        <v>26</v>
      </c>
      <c r="AR230" s="23"/>
      <c r="AS230" s="11"/>
      <c r="AT230" s="12"/>
    </row>
    <row r="231" spans="2:46" customFormat="1" ht="28.8" x14ac:dyDescent="0.3">
      <c r="B231" s="10" t="s">
        <v>514</v>
      </c>
      <c r="C231" s="61"/>
      <c r="D231" s="8" t="s">
        <v>320</v>
      </c>
      <c r="E231" s="8" t="s">
        <v>320</v>
      </c>
      <c r="F231" s="8" t="s">
        <v>551</v>
      </c>
      <c r="G231" s="8" t="s">
        <v>331</v>
      </c>
      <c r="H231" s="38" t="s">
        <v>26</v>
      </c>
      <c r="I231" s="2"/>
      <c r="J231" s="4">
        <v>2</v>
      </c>
      <c r="K231" s="4" t="s">
        <v>169</v>
      </c>
      <c r="L231" s="5">
        <v>2.2000000000000001E-3</v>
      </c>
      <c r="M231" s="2"/>
      <c r="N231" s="22">
        <v>2</v>
      </c>
      <c r="O231" s="22">
        <v>2</v>
      </c>
      <c r="P231" s="22">
        <v>2.0009999999999999</v>
      </c>
      <c r="Q231" s="27">
        <f t="shared" si="120"/>
        <v>0</v>
      </c>
      <c r="R231" s="27">
        <f t="shared" si="121"/>
        <v>4.9999999999994493E-4</v>
      </c>
      <c r="S231" s="38" t="s">
        <v>26</v>
      </c>
      <c r="T231" s="23"/>
      <c r="U231" s="11"/>
      <c r="V231" s="22">
        <v>2</v>
      </c>
      <c r="W231" s="22">
        <v>1.998</v>
      </c>
      <c r="X231" s="22">
        <v>2.0009999999999999</v>
      </c>
      <c r="Y231" s="27">
        <f t="shared" si="122"/>
        <v>-1.0000000000000009E-3</v>
      </c>
      <c r="Z231" s="27">
        <f t="shared" si="123"/>
        <v>4.9999999999994493E-4</v>
      </c>
      <c r="AA231" s="38" t="s">
        <v>26</v>
      </c>
      <c r="AB231" s="23"/>
      <c r="AC231" s="11"/>
      <c r="AD231" s="22">
        <v>2</v>
      </c>
      <c r="AE231" s="22">
        <v>1.998</v>
      </c>
      <c r="AF231" s="22">
        <v>2.0009999999999999</v>
      </c>
      <c r="AG231" s="27">
        <f t="shared" si="124"/>
        <v>-1.0000000000000009E-3</v>
      </c>
      <c r="AH231" s="27">
        <f t="shared" si="125"/>
        <v>4.9999999999994493E-4</v>
      </c>
      <c r="AI231" s="38" t="s">
        <v>26</v>
      </c>
      <c r="AJ231" s="23"/>
      <c r="AK231" s="11"/>
      <c r="AL231" s="22">
        <v>2</v>
      </c>
      <c r="AM231" s="22">
        <v>1.9990000000000001</v>
      </c>
      <c r="AN231" s="22">
        <v>2</v>
      </c>
      <c r="AO231" s="27">
        <f t="shared" si="126"/>
        <v>-4.9999999999994493E-4</v>
      </c>
      <c r="AP231" s="27">
        <f t="shared" si="127"/>
        <v>0</v>
      </c>
      <c r="AQ231" s="38" t="s">
        <v>26</v>
      </c>
      <c r="AR231" s="23"/>
      <c r="AS231" s="11"/>
      <c r="AT231" s="12"/>
    </row>
    <row r="232" spans="2:46" customFormat="1" ht="28.8" x14ac:dyDescent="0.3">
      <c r="B232" s="10" t="s">
        <v>515</v>
      </c>
      <c r="C232" s="61"/>
      <c r="D232" s="8" t="s">
        <v>320</v>
      </c>
      <c r="E232" s="8" t="s">
        <v>320</v>
      </c>
      <c r="F232" s="8" t="s">
        <v>551</v>
      </c>
      <c r="G232" s="8" t="s">
        <v>333</v>
      </c>
      <c r="H232" s="38" t="s">
        <v>26</v>
      </c>
      <c r="I232" s="2"/>
      <c r="J232" s="4">
        <v>2</v>
      </c>
      <c r="K232" s="4" t="s">
        <v>169</v>
      </c>
      <c r="L232" s="5">
        <v>2.2000000000000001E-3</v>
      </c>
      <c r="M232" s="2"/>
      <c r="N232" s="22">
        <v>2</v>
      </c>
      <c r="O232" s="22">
        <v>2</v>
      </c>
      <c r="P232" s="22">
        <v>2.0009999999999999</v>
      </c>
      <c r="Q232" s="27">
        <f t="shared" si="120"/>
        <v>0</v>
      </c>
      <c r="R232" s="27">
        <f t="shared" si="121"/>
        <v>4.9999999999994493E-4</v>
      </c>
      <c r="S232" s="38" t="s">
        <v>26</v>
      </c>
      <c r="T232" s="23"/>
      <c r="U232" s="11"/>
      <c r="V232" s="22">
        <v>2</v>
      </c>
      <c r="W232" s="22">
        <v>1.998</v>
      </c>
      <c r="X232" s="22">
        <v>2.0009999999999999</v>
      </c>
      <c r="Y232" s="27">
        <f t="shared" si="122"/>
        <v>-1.0000000000000009E-3</v>
      </c>
      <c r="Z232" s="27">
        <f t="shared" si="123"/>
        <v>4.9999999999994493E-4</v>
      </c>
      <c r="AA232" s="38" t="s">
        <v>26</v>
      </c>
      <c r="AB232" s="23"/>
      <c r="AC232" s="11"/>
      <c r="AD232" s="22">
        <v>2</v>
      </c>
      <c r="AE232" s="22">
        <v>1.998</v>
      </c>
      <c r="AF232" s="22">
        <v>2.0009999999999999</v>
      </c>
      <c r="AG232" s="27">
        <f t="shared" si="124"/>
        <v>-1.0000000000000009E-3</v>
      </c>
      <c r="AH232" s="27">
        <f t="shared" si="125"/>
        <v>4.9999999999994493E-4</v>
      </c>
      <c r="AI232" s="38" t="s">
        <v>26</v>
      </c>
      <c r="AJ232" s="23"/>
      <c r="AK232" s="11"/>
      <c r="AL232" s="22">
        <v>2</v>
      </c>
      <c r="AM232" s="22">
        <v>2.0009999999999999</v>
      </c>
      <c r="AN232" s="22">
        <v>2.0030000000000001</v>
      </c>
      <c r="AO232" s="27">
        <f t="shared" si="126"/>
        <v>4.9999999999994493E-4</v>
      </c>
      <c r="AP232" s="27">
        <f t="shared" si="127"/>
        <v>1.5000000000000568E-3</v>
      </c>
      <c r="AQ232" s="38" t="s">
        <v>26</v>
      </c>
      <c r="AR232" s="23"/>
      <c r="AS232" s="11"/>
      <c r="AT232" s="12"/>
    </row>
    <row r="233" spans="2:46" customFormat="1" ht="28.8" x14ac:dyDescent="0.3">
      <c r="B233" s="10" t="s">
        <v>516</v>
      </c>
      <c r="C233" s="61"/>
      <c r="D233" s="8" t="s">
        <v>320</v>
      </c>
      <c r="E233" s="8" t="s">
        <v>320</v>
      </c>
      <c r="F233" s="8" t="s">
        <v>551</v>
      </c>
      <c r="G233" s="8" t="s">
        <v>335</v>
      </c>
      <c r="H233" s="38" t="s">
        <v>26</v>
      </c>
      <c r="I233" s="2"/>
      <c r="J233" s="4">
        <v>2</v>
      </c>
      <c r="K233" s="4" t="s">
        <v>169</v>
      </c>
      <c r="L233" s="5">
        <v>2.2000000000000001E-3</v>
      </c>
      <c r="M233" s="2"/>
      <c r="N233" s="22">
        <v>2</v>
      </c>
      <c r="O233" s="22">
        <v>2</v>
      </c>
      <c r="P233" s="22">
        <v>2.0009999999999999</v>
      </c>
      <c r="Q233" s="27">
        <f t="shared" si="120"/>
        <v>0</v>
      </c>
      <c r="R233" s="27">
        <f t="shared" si="121"/>
        <v>4.9999999999994493E-4</v>
      </c>
      <c r="S233" s="38" t="s">
        <v>26</v>
      </c>
      <c r="T233" s="23"/>
      <c r="U233" s="11"/>
      <c r="V233" s="22">
        <v>2</v>
      </c>
      <c r="W233" s="22">
        <v>1.998</v>
      </c>
      <c r="X233" s="22">
        <v>2.0009999999999999</v>
      </c>
      <c r="Y233" s="27">
        <f t="shared" si="122"/>
        <v>-1.0000000000000009E-3</v>
      </c>
      <c r="Z233" s="27">
        <f t="shared" si="123"/>
        <v>4.9999999999994493E-4</v>
      </c>
      <c r="AA233" s="38" t="s">
        <v>26</v>
      </c>
      <c r="AB233" s="23"/>
      <c r="AC233" s="11"/>
      <c r="AD233" s="22">
        <v>2</v>
      </c>
      <c r="AE233" s="22">
        <v>1.998</v>
      </c>
      <c r="AF233" s="22">
        <v>2.0009999999999999</v>
      </c>
      <c r="AG233" s="27">
        <f t="shared" si="124"/>
        <v>-1.0000000000000009E-3</v>
      </c>
      <c r="AH233" s="27">
        <f t="shared" si="125"/>
        <v>4.9999999999994493E-4</v>
      </c>
      <c r="AI233" s="38" t="s">
        <v>26</v>
      </c>
      <c r="AJ233" s="23"/>
      <c r="AK233" s="11"/>
      <c r="AL233" s="22">
        <v>2</v>
      </c>
      <c r="AM233" s="22">
        <v>1.9990000000000001</v>
      </c>
      <c r="AN233" s="22">
        <v>2</v>
      </c>
      <c r="AO233" s="27">
        <f t="shared" si="126"/>
        <v>-4.9999999999994493E-4</v>
      </c>
      <c r="AP233" s="27">
        <f t="shared" si="127"/>
        <v>0</v>
      </c>
      <c r="AQ233" s="38" t="s">
        <v>26</v>
      </c>
      <c r="AR233" s="23"/>
      <c r="AS233" s="11"/>
      <c r="AT233" s="12"/>
    </row>
    <row r="234" spans="2:46" customFormat="1" ht="28.8" x14ac:dyDescent="0.3">
      <c r="B234" s="10" t="s">
        <v>517</v>
      </c>
      <c r="C234" s="61"/>
      <c r="D234" s="8" t="s">
        <v>320</v>
      </c>
      <c r="E234" s="8" t="s">
        <v>320</v>
      </c>
      <c r="F234" s="8" t="s">
        <v>551</v>
      </c>
      <c r="G234" s="8" t="s">
        <v>337</v>
      </c>
      <c r="H234" s="38" t="s">
        <v>26</v>
      </c>
      <c r="I234" s="2"/>
      <c r="J234" s="4">
        <v>2</v>
      </c>
      <c r="K234" s="4" t="s">
        <v>169</v>
      </c>
      <c r="L234" s="5">
        <v>2.2000000000000001E-3</v>
      </c>
      <c r="M234" s="2"/>
      <c r="N234" s="22">
        <v>2</v>
      </c>
      <c r="O234" s="22">
        <v>2</v>
      </c>
      <c r="P234" s="22">
        <v>2.0009999999999999</v>
      </c>
      <c r="Q234" s="27">
        <f t="shared" si="120"/>
        <v>0</v>
      </c>
      <c r="R234" s="27">
        <f t="shared" si="121"/>
        <v>4.9999999999994493E-4</v>
      </c>
      <c r="S234" s="38" t="s">
        <v>26</v>
      </c>
      <c r="T234" s="23"/>
      <c r="U234" s="11"/>
      <c r="V234" s="22">
        <v>2</v>
      </c>
      <c r="W234" s="22">
        <v>1.998</v>
      </c>
      <c r="X234" s="22">
        <v>2.0009999999999999</v>
      </c>
      <c r="Y234" s="27">
        <f t="shared" si="122"/>
        <v>-1.0000000000000009E-3</v>
      </c>
      <c r="Z234" s="27">
        <f t="shared" si="123"/>
        <v>4.9999999999994493E-4</v>
      </c>
      <c r="AA234" s="38" t="s">
        <v>26</v>
      </c>
      <c r="AB234" s="23"/>
      <c r="AC234" s="11"/>
      <c r="AD234" s="22">
        <v>2</v>
      </c>
      <c r="AE234" s="22">
        <v>1.998</v>
      </c>
      <c r="AF234" s="22">
        <v>2.0009999999999999</v>
      </c>
      <c r="AG234" s="27">
        <f t="shared" si="124"/>
        <v>-1.0000000000000009E-3</v>
      </c>
      <c r="AH234" s="27">
        <f t="shared" si="125"/>
        <v>4.9999999999994493E-4</v>
      </c>
      <c r="AI234" s="38" t="s">
        <v>26</v>
      </c>
      <c r="AJ234" s="23"/>
      <c r="AK234" s="11"/>
      <c r="AL234" s="22">
        <v>2</v>
      </c>
      <c r="AM234" s="22">
        <v>2</v>
      </c>
      <c r="AN234" s="22">
        <v>2.0009999999999999</v>
      </c>
      <c r="AO234" s="27">
        <f t="shared" si="126"/>
        <v>0</v>
      </c>
      <c r="AP234" s="27">
        <f t="shared" si="127"/>
        <v>4.9999999999994493E-4</v>
      </c>
      <c r="AQ234" s="38" t="s">
        <v>26</v>
      </c>
      <c r="AR234" s="23"/>
      <c r="AS234" s="11"/>
      <c r="AT234" s="12"/>
    </row>
    <row r="235" spans="2:46" customFormat="1" ht="28.8" x14ac:dyDescent="0.3">
      <c r="B235" s="10" t="s">
        <v>518</v>
      </c>
      <c r="C235" s="61"/>
      <c r="D235" s="8" t="s">
        <v>320</v>
      </c>
      <c r="E235" s="8" t="s">
        <v>320</v>
      </c>
      <c r="F235" s="8" t="s">
        <v>551</v>
      </c>
      <c r="G235" s="8" t="s">
        <v>324</v>
      </c>
      <c r="H235" s="38" t="s">
        <v>26</v>
      </c>
      <c r="I235" s="2"/>
      <c r="J235" s="4">
        <v>-2</v>
      </c>
      <c r="K235" s="4" t="s">
        <v>169</v>
      </c>
      <c r="L235" s="5">
        <v>2.2000000000000001E-3</v>
      </c>
      <c r="M235" s="2"/>
      <c r="N235" s="22">
        <v>-2</v>
      </c>
      <c r="O235" s="22">
        <v>-2.0019999999999998</v>
      </c>
      <c r="P235" s="22">
        <v>-2.0019999999999998</v>
      </c>
      <c r="Q235" s="27">
        <f t="shared" si="120"/>
        <v>9.9999999999988987E-4</v>
      </c>
      <c r="R235" s="27">
        <f t="shared" si="121"/>
        <v>9.9999999999988987E-4</v>
      </c>
      <c r="S235" s="38" t="s">
        <v>26</v>
      </c>
      <c r="T235" s="23"/>
      <c r="U235" s="11"/>
      <c r="V235" s="22">
        <v>-2</v>
      </c>
      <c r="W235" s="22">
        <v>-2.0030000000000001</v>
      </c>
      <c r="X235" s="22">
        <v>-2.0030000000000001</v>
      </c>
      <c r="Y235" s="27">
        <f t="shared" si="122"/>
        <v>1.5000000000000568E-3</v>
      </c>
      <c r="Z235" s="27">
        <f t="shared" si="123"/>
        <v>1.5000000000000568E-3</v>
      </c>
      <c r="AA235" s="38" t="s">
        <v>26</v>
      </c>
      <c r="AB235" s="23"/>
      <c r="AC235" s="11"/>
      <c r="AD235" s="22">
        <v>-2</v>
      </c>
      <c r="AE235" s="22">
        <v>-2.0030000000000001</v>
      </c>
      <c r="AF235" s="22">
        <v>-2.0030000000000001</v>
      </c>
      <c r="AG235" s="27">
        <f t="shared" si="124"/>
        <v>1.5000000000000568E-3</v>
      </c>
      <c r="AH235" s="27">
        <f t="shared" si="125"/>
        <v>1.5000000000000568E-3</v>
      </c>
      <c r="AI235" s="38" t="s">
        <v>26</v>
      </c>
      <c r="AJ235" s="23"/>
      <c r="AK235" s="11"/>
      <c r="AL235" s="22">
        <v>-2</v>
      </c>
      <c r="AM235" s="22">
        <v>-2.0059999999999998</v>
      </c>
      <c r="AN235" s="22">
        <v>-2.004</v>
      </c>
      <c r="AO235" s="27">
        <f t="shared" si="126"/>
        <v>2.9999999999998916E-3</v>
      </c>
      <c r="AP235" s="27">
        <f t="shared" si="127"/>
        <v>2.0000000000000018E-3</v>
      </c>
      <c r="AQ235" s="38" t="s">
        <v>26</v>
      </c>
      <c r="AR235" s="23"/>
      <c r="AS235" s="11"/>
      <c r="AT235" s="12"/>
    </row>
    <row r="236" spans="2:46" customFormat="1" ht="28.8" x14ac:dyDescent="0.3">
      <c r="B236" s="10" t="s">
        <v>519</v>
      </c>
      <c r="C236" s="61"/>
      <c r="D236" s="8" t="s">
        <v>320</v>
      </c>
      <c r="E236" s="8" t="s">
        <v>320</v>
      </c>
      <c r="F236" s="8" t="s">
        <v>551</v>
      </c>
      <c r="G236" s="8" t="s">
        <v>326</v>
      </c>
      <c r="H236" s="38" t="s">
        <v>26</v>
      </c>
      <c r="I236" s="2"/>
      <c r="J236" s="4">
        <v>-2</v>
      </c>
      <c r="K236" s="4" t="s">
        <v>169</v>
      </c>
      <c r="L236" s="5">
        <v>2.2000000000000001E-3</v>
      </c>
      <c r="M236" s="2"/>
      <c r="N236" s="22">
        <v>-2</v>
      </c>
      <c r="O236" s="22">
        <v>-2.0019999999999998</v>
      </c>
      <c r="P236" s="22">
        <v>-2.0019999999999998</v>
      </c>
      <c r="Q236" s="27">
        <f t="shared" si="120"/>
        <v>9.9999999999988987E-4</v>
      </c>
      <c r="R236" s="27">
        <f t="shared" si="121"/>
        <v>9.9999999999988987E-4</v>
      </c>
      <c r="S236" s="38" t="s">
        <v>26</v>
      </c>
      <c r="T236" s="23"/>
      <c r="U236" s="11"/>
      <c r="V236" s="22">
        <v>-2</v>
      </c>
      <c r="W236" s="22">
        <v>-2.0030000000000001</v>
      </c>
      <c r="X236" s="22">
        <v>-2.0030000000000001</v>
      </c>
      <c r="Y236" s="27">
        <f t="shared" si="122"/>
        <v>1.5000000000000568E-3</v>
      </c>
      <c r="Z236" s="27">
        <f t="shared" si="123"/>
        <v>1.5000000000000568E-3</v>
      </c>
      <c r="AA236" s="38" t="s">
        <v>26</v>
      </c>
      <c r="AB236" s="23"/>
      <c r="AC236" s="11"/>
      <c r="AD236" s="22">
        <v>-2</v>
      </c>
      <c r="AE236" s="22">
        <v>-2.0030000000000001</v>
      </c>
      <c r="AF236" s="22">
        <v>-2.0030000000000001</v>
      </c>
      <c r="AG236" s="27">
        <f t="shared" si="124"/>
        <v>1.5000000000000568E-3</v>
      </c>
      <c r="AH236" s="27">
        <f t="shared" si="125"/>
        <v>1.5000000000000568E-3</v>
      </c>
      <c r="AI236" s="38" t="s">
        <v>26</v>
      </c>
      <c r="AJ236" s="23"/>
      <c r="AK236" s="11"/>
      <c r="AL236" s="22">
        <v>-2</v>
      </c>
      <c r="AM236" s="22">
        <v>-2.0059999999999998</v>
      </c>
      <c r="AN236" s="22">
        <v>-2.004</v>
      </c>
      <c r="AO236" s="27">
        <f t="shared" si="126"/>
        <v>2.9999999999998916E-3</v>
      </c>
      <c r="AP236" s="27">
        <f t="shared" si="127"/>
        <v>2.0000000000000018E-3</v>
      </c>
      <c r="AQ236" s="38" t="s">
        <v>26</v>
      </c>
      <c r="AR236" s="23"/>
      <c r="AS236" s="11"/>
      <c r="AT236" s="12"/>
    </row>
    <row r="237" spans="2:46" customFormat="1" ht="28.8" x14ac:dyDescent="0.3">
      <c r="B237" s="10" t="s">
        <v>520</v>
      </c>
      <c r="C237" s="61"/>
      <c r="D237" s="8" t="s">
        <v>320</v>
      </c>
      <c r="E237" s="8" t="s">
        <v>320</v>
      </c>
      <c r="F237" s="8" t="s">
        <v>551</v>
      </c>
      <c r="G237" s="8" t="s">
        <v>328</v>
      </c>
      <c r="H237" s="38" t="s">
        <v>26</v>
      </c>
      <c r="I237" s="2"/>
      <c r="J237" s="4">
        <v>-2</v>
      </c>
      <c r="K237" s="4" t="s">
        <v>169</v>
      </c>
      <c r="L237" s="5">
        <v>2.2000000000000001E-3</v>
      </c>
      <c r="M237" s="2"/>
      <c r="N237" s="22">
        <v>-2</v>
      </c>
      <c r="O237" s="22">
        <v>-2.0019999999999998</v>
      </c>
      <c r="P237" s="22">
        <v>-2.0019999999999998</v>
      </c>
      <c r="Q237" s="27">
        <f t="shared" si="120"/>
        <v>9.9999999999988987E-4</v>
      </c>
      <c r="R237" s="27">
        <f t="shared" si="121"/>
        <v>9.9999999999988987E-4</v>
      </c>
      <c r="S237" s="38" t="s">
        <v>26</v>
      </c>
      <c r="T237" s="23"/>
      <c r="U237" s="11"/>
      <c r="V237" s="22">
        <v>-2</v>
      </c>
      <c r="W237" s="22">
        <v>-2.0030000000000001</v>
      </c>
      <c r="X237" s="22">
        <v>-2.0030000000000001</v>
      </c>
      <c r="Y237" s="27">
        <f t="shared" si="122"/>
        <v>1.5000000000000568E-3</v>
      </c>
      <c r="Z237" s="27">
        <f t="shared" si="123"/>
        <v>1.5000000000000568E-3</v>
      </c>
      <c r="AA237" s="38" t="s">
        <v>26</v>
      </c>
      <c r="AB237" s="23"/>
      <c r="AC237" s="11"/>
      <c r="AD237" s="22">
        <v>-2</v>
      </c>
      <c r="AE237" s="22">
        <v>-2.0030000000000001</v>
      </c>
      <c r="AF237" s="22">
        <v>-2.0030000000000001</v>
      </c>
      <c r="AG237" s="27">
        <f t="shared" si="124"/>
        <v>1.5000000000000568E-3</v>
      </c>
      <c r="AH237" s="27">
        <f t="shared" si="125"/>
        <v>1.5000000000000568E-3</v>
      </c>
      <c r="AI237" s="38" t="s">
        <v>26</v>
      </c>
      <c r="AJ237" s="23"/>
      <c r="AK237" s="11"/>
      <c r="AL237" s="22">
        <v>-2</v>
      </c>
      <c r="AM237" s="22">
        <v>-2.0070000000000001</v>
      </c>
      <c r="AN237" s="22">
        <v>-2.0059999999999998</v>
      </c>
      <c r="AO237" s="27">
        <f t="shared" si="126"/>
        <v>3.5000000000000586E-3</v>
      </c>
      <c r="AP237" s="27">
        <f t="shared" si="127"/>
        <v>2.9999999999998916E-3</v>
      </c>
      <c r="AQ237" s="47" t="s">
        <v>142</v>
      </c>
      <c r="AR237" s="23"/>
      <c r="AS237" s="11"/>
      <c r="AT237" s="12"/>
    </row>
    <row r="238" spans="2:46" customFormat="1" ht="28.8" x14ac:dyDescent="0.3">
      <c r="B238" s="10" t="s">
        <v>521</v>
      </c>
      <c r="C238" s="61"/>
      <c r="D238" s="8" t="s">
        <v>320</v>
      </c>
      <c r="E238" s="8" t="s">
        <v>320</v>
      </c>
      <c r="F238" s="8" t="s">
        <v>551</v>
      </c>
      <c r="G238" s="8" t="s">
        <v>330</v>
      </c>
      <c r="H238" s="38" t="s">
        <v>26</v>
      </c>
      <c r="I238" s="2"/>
      <c r="J238" s="4">
        <v>-2</v>
      </c>
      <c r="K238" s="4" t="s">
        <v>169</v>
      </c>
      <c r="L238" s="5">
        <v>2.2000000000000001E-3</v>
      </c>
      <c r="M238" s="2"/>
      <c r="N238" s="22">
        <v>-2</v>
      </c>
      <c r="O238" s="22">
        <v>-2.0019999999999998</v>
      </c>
      <c r="P238" s="22">
        <v>-2.0019999999999998</v>
      </c>
      <c r="Q238" s="27">
        <f t="shared" si="120"/>
        <v>9.9999999999988987E-4</v>
      </c>
      <c r="R238" s="27">
        <f t="shared" si="121"/>
        <v>9.9999999999988987E-4</v>
      </c>
      <c r="S238" s="38" t="s">
        <v>26</v>
      </c>
      <c r="T238" s="23"/>
      <c r="U238" s="11"/>
      <c r="V238" s="22">
        <v>-2</v>
      </c>
      <c r="W238" s="22">
        <v>-2.0030000000000001</v>
      </c>
      <c r="X238" s="22">
        <v>-2.0030000000000001</v>
      </c>
      <c r="Y238" s="27">
        <f t="shared" si="122"/>
        <v>1.5000000000000568E-3</v>
      </c>
      <c r="Z238" s="27">
        <f t="shared" si="123"/>
        <v>1.5000000000000568E-3</v>
      </c>
      <c r="AA238" s="38" t="s">
        <v>26</v>
      </c>
      <c r="AB238" s="23"/>
      <c r="AC238" s="11"/>
      <c r="AD238" s="22">
        <v>-2</v>
      </c>
      <c r="AE238" s="22">
        <v>-2.0030000000000001</v>
      </c>
      <c r="AF238" s="22">
        <v>-2.0030000000000001</v>
      </c>
      <c r="AG238" s="27">
        <f t="shared" si="124"/>
        <v>1.5000000000000568E-3</v>
      </c>
      <c r="AH238" s="27">
        <f t="shared" si="125"/>
        <v>1.5000000000000568E-3</v>
      </c>
      <c r="AI238" s="38" t="s">
        <v>26</v>
      </c>
      <c r="AJ238" s="23"/>
      <c r="AK238" s="11"/>
      <c r="AL238" s="22">
        <v>-2</v>
      </c>
      <c r="AM238" s="22">
        <v>-2.008</v>
      </c>
      <c r="AN238" s="22">
        <v>-2.0070000000000001</v>
      </c>
      <c r="AO238" s="27">
        <f t="shared" si="126"/>
        <v>4.0000000000000036E-3</v>
      </c>
      <c r="AP238" s="27">
        <f t="shared" si="127"/>
        <v>3.5000000000000586E-3</v>
      </c>
      <c r="AQ238" s="47" t="s">
        <v>142</v>
      </c>
      <c r="AR238" s="23"/>
      <c r="AS238" s="11"/>
      <c r="AT238" s="12"/>
    </row>
    <row r="239" spans="2:46" customFormat="1" ht="28.8" x14ac:dyDescent="0.3">
      <c r="B239" s="10" t="s">
        <v>522</v>
      </c>
      <c r="C239" s="61"/>
      <c r="D239" s="8" t="s">
        <v>320</v>
      </c>
      <c r="E239" s="8" t="s">
        <v>320</v>
      </c>
      <c r="F239" s="8" t="s">
        <v>551</v>
      </c>
      <c r="G239" s="8" t="s">
        <v>332</v>
      </c>
      <c r="H239" s="38" t="s">
        <v>26</v>
      </c>
      <c r="I239" s="2"/>
      <c r="J239" s="4">
        <v>-2</v>
      </c>
      <c r="K239" s="4" t="s">
        <v>169</v>
      </c>
      <c r="L239" s="5">
        <v>2.2000000000000001E-3</v>
      </c>
      <c r="M239" s="2"/>
      <c r="N239" s="22">
        <v>-2</v>
      </c>
      <c r="O239" s="22">
        <v>-2.0019999999999998</v>
      </c>
      <c r="P239" s="22">
        <v>-2.0019999999999998</v>
      </c>
      <c r="Q239" s="27">
        <f t="shared" si="120"/>
        <v>9.9999999999988987E-4</v>
      </c>
      <c r="R239" s="27">
        <f t="shared" si="121"/>
        <v>9.9999999999988987E-4</v>
      </c>
      <c r="S239" s="38" t="s">
        <v>26</v>
      </c>
      <c r="T239" s="23"/>
      <c r="U239" s="11"/>
      <c r="V239" s="22">
        <v>-2</v>
      </c>
      <c r="W239" s="22">
        <v>-2.0030000000000001</v>
      </c>
      <c r="X239" s="22">
        <v>-2.0019999999999998</v>
      </c>
      <c r="Y239" s="27">
        <f t="shared" si="122"/>
        <v>1.5000000000000568E-3</v>
      </c>
      <c r="Z239" s="27">
        <f t="shared" si="123"/>
        <v>9.9999999999988987E-4</v>
      </c>
      <c r="AA239" s="38" t="s">
        <v>26</v>
      </c>
      <c r="AB239" s="23"/>
      <c r="AC239" s="11"/>
      <c r="AD239" s="22">
        <v>-2</v>
      </c>
      <c r="AE239" s="22">
        <v>-2.0030000000000001</v>
      </c>
      <c r="AF239" s="22">
        <v>-2.0019999999999998</v>
      </c>
      <c r="AG239" s="27">
        <f t="shared" si="124"/>
        <v>1.5000000000000568E-3</v>
      </c>
      <c r="AH239" s="27">
        <f t="shared" si="125"/>
        <v>9.9999999999988987E-4</v>
      </c>
      <c r="AI239" s="38" t="s">
        <v>26</v>
      </c>
      <c r="AJ239" s="23"/>
      <c r="AK239" s="11"/>
      <c r="AL239" s="22">
        <v>-2</v>
      </c>
      <c r="AM239" s="22">
        <v>-2.0049999999999999</v>
      </c>
      <c r="AN239" s="22">
        <v>-2.004</v>
      </c>
      <c r="AO239" s="27">
        <f t="shared" si="126"/>
        <v>2.4999999999999467E-3</v>
      </c>
      <c r="AP239" s="27">
        <f t="shared" si="127"/>
        <v>2.0000000000000018E-3</v>
      </c>
      <c r="AQ239" s="38" t="s">
        <v>26</v>
      </c>
      <c r="AR239" s="23"/>
      <c r="AS239" s="11"/>
      <c r="AT239" s="12"/>
    </row>
    <row r="240" spans="2:46" customFormat="1" ht="28.8" x14ac:dyDescent="0.3">
      <c r="B240" s="10" t="s">
        <v>523</v>
      </c>
      <c r="C240" s="61"/>
      <c r="D240" s="8" t="s">
        <v>320</v>
      </c>
      <c r="E240" s="8" t="s">
        <v>320</v>
      </c>
      <c r="F240" s="8" t="s">
        <v>551</v>
      </c>
      <c r="G240" s="8" t="s">
        <v>334</v>
      </c>
      <c r="H240" s="38" t="s">
        <v>26</v>
      </c>
      <c r="I240" s="2"/>
      <c r="J240" s="4">
        <v>-2</v>
      </c>
      <c r="K240" s="4" t="s">
        <v>169</v>
      </c>
      <c r="L240" s="5">
        <v>2.2000000000000001E-3</v>
      </c>
      <c r="M240" s="2"/>
      <c r="N240" s="22">
        <v>-2</v>
      </c>
      <c r="O240" s="22">
        <v>-2.0019999999999998</v>
      </c>
      <c r="P240" s="22">
        <v>-2.0019999999999998</v>
      </c>
      <c r="Q240" s="27">
        <f t="shared" si="120"/>
        <v>9.9999999999988987E-4</v>
      </c>
      <c r="R240" s="27">
        <f t="shared" si="121"/>
        <v>9.9999999999988987E-4</v>
      </c>
      <c r="S240" s="38" t="s">
        <v>26</v>
      </c>
      <c r="T240" s="23"/>
      <c r="U240" s="11"/>
      <c r="V240" s="22">
        <v>-2</v>
      </c>
      <c r="W240" s="22">
        <v>-2.0030000000000001</v>
      </c>
      <c r="X240" s="22">
        <v>-2.0019999999999998</v>
      </c>
      <c r="Y240" s="27">
        <f t="shared" si="122"/>
        <v>1.5000000000000568E-3</v>
      </c>
      <c r="Z240" s="27">
        <f t="shared" si="123"/>
        <v>9.9999999999988987E-4</v>
      </c>
      <c r="AA240" s="38" t="s">
        <v>26</v>
      </c>
      <c r="AB240" s="23"/>
      <c r="AC240" s="11"/>
      <c r="AD240" s="22">
        <v>-2</v>
      </c>
      <c r="AE240" s="22">
        <v>-2.0030000000000001</v>
      </c>
      <c r="AF240" s="22">
        <v>-2.0019999999999998</v>
      </c>
      <c r="AG240" s="27">
        <f t="shared" si="124"/>
        <v>1.5000000000000568E-3</v>
      </c>
      <c r="AH240" s="27">
        <f t="shared" si="125"/>
        <v>9.9999999999988987E-4</v>
      </c>
      <c r="AI240" s="38" t="s">
        <v>26</v>
      </c>
      <c r="AJ240" s="23"/>
      <c r="AK240" s="11"/>
      <c r="AL240" s="22">
        <v>-2</v>
      </c>
      <c r="AM240" s="22">
        <v>-2.008</v>
      </c>
      <c r="AN240" s="22">
        <v>-2.0059999999999998</v>
      </c>
      <c r="AO240" s="27">
        <f t="shared" si="126"/>
        <v>4.0000000000000036E-3</v>
      </c>
      <c r="AP240" s="27">
        <f t="shared" si="127"/>
        <v>2.9999999999998916E-3</v>
      </c>
      <c r="AQ240" s="47" t="s">
        <v>142</v>
      </c>
      <c r="AR240" s="23"/>
      <c r="AS240" s="11"/>
      <c r="AT240" s="12"/>
    </row>
    <row r="241" spans="2:46" customFormat="1" ht="28.8" x14ac:dyDescent="0.3">
      <c r="B241" s="10" t="s">
        <v>524</v>
      </c>
      <c r="C241" s="61"/>
      <c r="D241" s="8" t="s">
        <v>320</v>
      </c>
      <c r="E241" s="8" t="s">
        <v>320</v>
      </c>
      <c r="F241" s="8" t="s">
        <v>551</v>
      </c>
      <c r="G241" s="8" t="s">
        <v>336</v>
      </c>
      <c r="H241" s="38" t="s">
        <v>26</v>
      </c>
      <c r="I241" s="2"/>
      <c r="J241" s="4">
        <v>-2</v>
      </c>
      <c r="K241" s="4" t="s">
        <v>169</v>
      </c>
      <c r="L241" s="5">
        <v>2.2000000000000001E-3</v>
      </c>
      <c r="M241" s="2"/>
      <c r="N241" s="22">
        <v>-2</v>
      </c>
      <c r="O241" s="22">
        <v>-2.0019999999999998</v>
      </c>
      <c r="P241" s="22">
        <v>-2.0019999999999998</v>
      </c>
      <c r="Q241" s="27">
        <f t="shared" si="120"/>
        <v>9.9999999999988987E-4</v>
      </c>
      <c r="R241" s="27">
        <f t="shared" si="121"/>
        <v>9.9999999999988987E-4</v>
      </c>
      <c r="S241" s="38" t="s">
        <v>26</v>
      </c>
      <c r="T241" s="23"/>
      <c r="U241" s="11"/>
      <c r="V241" s="22">
        <v>-2</v>
      </c>
      <c r="W241" s="22">
        <v>-2.0030000000000001</v>
      </c>
      <c r="X241" s="22">
        <v>-2.0019999999999998</v>
      </c>
      <c r="Y241" s="27">
        <f t="shared" si="122"/>
        <v>1.5000000000000568E-3</v>
      </c>
      <c r="Z241" s="27">
        <f t="shared" si="123"/>
        <v>9.9999999999988987E-4</v>
      </c>
      <c r="AA241" s="38" t="s">
        <v>26</v>
      </c>
      <c r="AB241" s="23"/>
      <c r="AC241" s="11"/>
      <c r="AD241" s="22">
        <v>-2</v>
      </c>
      <c r="AE241" s="22">
        <v>-2.0030000000000001</v>
      </c>
      <c r="AF241" s="22">
        <v>-2.0019999999999998</v>
      </c>
      <c r="AG241" s="27">
        <f t="shared" si="124"/>
        <v>1.5000000000000568E-3</v>
      </c>
      <c r="AH241" s="27">
        <f t="shared" si="125"/>
        <v>9.9999999999988987E-4</v>
      </c>
      <c r="AI241" s="38" t="s">
        <v>26</v>
      </c>
      <c r="AJ241" s="23"/>
      <c r="AK241" s="11"/>
      <c r="AL241" s="22">
        <v>-2</v>
      </c>
      <c r="AM241" s="22">
        <v>-2.0049999999999999</v>
      </c>
      <c r="AN241" s="22">
        <v>-2.0030000000000001</v>
      </c>
      <c r="AO241" s="27">
        <f t="shared" si="126"/>
        <v>2.4999999999999467E-3</v>
      </c>
      <c r="AP241" s="27">
        <f t="shared" si="127"/>
        <v>1.5000000000000568E-3</v>
      </c>
      <c r="AQ241" s="38" t="s">
        <v>26</v>
      </c>
      <c r="AR241" s="23"/>
      <c r="AS241" s="11"/>
      <c r="AT241" s="12"/>
    </row>
    <row r="242" spans="2:46" customFormat="1" ht="28.8" x14ac:dyDescent="0.3">
      <c r="B242" s="10" t="s">
        <v>525</v>
      </c>
      <c r="C242" s="61"/>
      <c r="D242" s="8" t="s">
        <v>320</v>
      </c>
      <c r="E242" s="8" t="s">
        <v>320</v>
      </c>
      <c r="F242" s="8" t="s">
        <v>551</v>
      </c>
      <c r="G242" s="8" t="s">
        <v>338</v>
      </c>
      <c r="H242" s="38" t="s">
        <v>26</v>
      </c>
      <c r="I242" s="2"/>
      <c r="J242" s="4">
        <v>-2</v>
      </c>
      <c r="K242" s="4" t="s">
        <v>169</v>
      </c>
      <c r="L242" s="5">
        <v>2.2000000000000001E-3</v>
      </c>
      <c r="M242" s="2"/>
      <c r="N242" s="22">
        <v>-2</v>
      </c>
      <c r="O242" s="22">
        <v>-2.0019999999999998</v>
      </c>
      <c r="P242" s="22">
        <v>-2.0019999999999998</v>
      </c>
      <c r="Q242" s="27">
        <f t="shared" si="120"/>
        <v>9.9999999999988987E-4</v>
      </c>
      <c r="R242" s="27">
        <f t="shared" si="121"/>
        <v>9.9999999999988987E-4</v>
      </c>
      <c r="S242" s="38" t="s">
        <v>26</v>
      </c>
      <c r="T242" s="23"/>
      <c r="U242" s="11"/>
      <c r="V242" s="22">
        <v>-2</v>
      </c>
      <c r="W242" s="22">
        <v>-2.0030000000000001</v>
      </c>
      <c r="X242" s="22">
        <v>-2.0019999999999998</v>
      </c>
      <c r="Y242" s="27">
        <f t="shared" si="122"/>
        <v>1.5000000000000568E-3</v>
      </c>
      <c r="Z242" s="27">
        <f t="shared" si="123"/>
        <v>9.9999999999988987E-4</v>
      </c>
      <c r="AA242" s="38" t="s">
        <v>26</v>
      </c>
      <c r="AB242" s="23"/>
      <c r="AC242" s="11"/>
      <c r="AD242" s="22">
        <v>-2</v>
      </c>
      <c r="AE242" s="22">
        <v>-2.0030000000000001</v>
      </c>
      <c r="AF242" s="22">
        <v>-2.0019999999999998</v>
      </c>
      <c r="AG242" s="27">
        <f t="shared" si="124"/>
        <v>1.5000000000000568E-3</v>
      </c>
      <c r="AH242" s="27">
        <f t="shared" si="125"/>
        <v>9.9999999999988987E-4</v>
      </c>
      <c r="AI242" s="38" t="s">
        <v>26</v>
      </c>
      <c r="AJ242" s="23"/>
      <c r="AK242" s="11"/>
      <c r="AL242" s="22">
        <v>-2</v>
      </c>
      <c r="AM242" s="22">
        <v>-2.0059999999999998</v>
      </c>
      <c r="AN242" s="22">
        <v>-2.0049999999999999</v>
      </c>
      <c r="AO242" s="27">
        <f t="shared" si="126"/>
        <v>2.9999999999998916E-3</v>
      </c>
      <c r="AP242" s="27">
        <f t="shared" si="127"/>
        <v>2.4999999999999467E-3</v>
      </c>
      <c r="AQ242" s="47" t="s">
        <v>142</v>
      </c>
      <c r="AR242" s="23"/>
      <c r="AS242" s="11"/>
      <c r="AT242" s="12"/>
    </row>
    <row r="243" spans="2:46" customFormat="1" ht="28.8" x14ac:dyDescent="0.3">
      <c r="B243" s="10" t="s">
        <v>526</v>
      </c>
      <c r="C243" s="61"/>
      <c r="D243" s="8" t="s">
        <v>320</v>
      </c>
      <c r="E243" s="8" t="s">
        <v>320</v>
      </c>
      <c r="F243" s="8" t="s">
        <v>545</v>
      </c>
      <c r="G243" s="8" t="s">
        <v>323</v>
      </c>
      <c r="H243" s="38" t="s">
        <v>26</v>
      </c>
      <c r="I243" s="2"/>
      <c r="J243" s="4">
        <v>8</v>
      </c>
      <c r="K243" s="4" t="s">
        <v>169</v>
      </c>
      <c r="L243" s="5">
        <v>1.2999999999999999E-3</v>
      </c>
      <c r="M243" s="2"/>
      <c r="N243" s="22">
        <v>8</v>
      </c>
      <c r="O243" s="22">
        <v>7.9980000000000002</v>
      </c>
      <c r="P243" s="22">
        <v>7.9989999999999997</v>
      </c>
      <c r="Q243" s="27">
        <f t="shared" si="120"/>
        <v>-2.4999999999997247E-4</v>
      </c>
      <c r="R243" s="27">
        <f t="shared" si="121"/>
        <v>-1.2500000000004174E-4</v>
      </c>
      <c r="S243" s="38" t="s">
        <v>26</v>
      </c>
      <c r="T243" s="23"/>
      <c r="U243" s="11"/>
      <c r="V243" s="22">
        <v>8</v>
      </c>
      <c r="W243" s="22">
        <v>8.0020000000000007</v>
      </c>
      <c r="X243" s="22">
        <v>8.0030000000000001</v>
      </c>
      <c r="Y243" s="27">
        <f t="shared" si="122"/>
        <v>2.5000000000008349E-4</v>
      </c>
      <c r="Z243" s="27">
        <f t="shared" si="123"/>
        <v>3.7500000000001421E-4</v>
      </c>
      <c r="AA243" s="38" t="s">
        <v>26</v>
      </c>
      <c r="AB243" s="23"/>
      <c r="AC243" s="11"/>
      <c r="AD243" s="22">
        <v>8</v>
      </c>
      <c r="AE243" s="22">
        <v>8.0020000000000007</v>
      </c>
      <c r="AF243" s="22">
        <v>8.0030000000000001</v>
      </c>
      <c r="AG243" s="27">
        <f t="shared" si="124"/>
        <v>2.5000000000008349E-4</v>
      </c>
      <c r="AH243" s="27">
        <f t="shared" si="125"/>
        <v>3.7500000000001421E-4</v>
      </c>
      <c r="AI243" s="38" t="s">
        <v>26</v>
      </c>
      <c r="AJ243" s="23"/>
      <c r="AK243" s="11"/>
      <c r="AL243" s="22">
        <v>8</v>
      </c>
      <c r="AM243" s="22">
        <v>7.9960000000000004</v>
      </c>
      <c r="AN243" s="22">
        <v>7.9969999999999999</v>
      </c>
      <c r="AO243" s="27">
        <f t="shared" si="126"/>
        <v>-4.9999999999994493E-4</v>
      </c>
      <c r="AP243" s="27">
        <f t="shared" si="127"/>
        <v>-3.7500000000001421E-4</v>
      </c>
      <c r="AQ243" s="38" t="s">
        <v>26</v>
      </c>
      <c r="AR243" s="22">
        <f>MIN(AM243:AN250)</f>
        <v>7.9950000000000001</v>
      </c>
      <c r="AS243" s="11"/>
      <c r="AT243" s="12"/>
    </row>
    <row r="244" spans="2:46" customFormat="1" ht="28.8" x14ac:dyDescent="0.3">
      <c r="B244" s="10" t="s">
        <v>527</v>
      </c>
      <c r="C244" s="61"/>
      <c r="D244" s="8" t="s">
        <v>320</v>
      </c>
      <c r="E244" s="8" t="s">
        <v>320</v>
      </c>
      <c r="F244" s="8" t="s">
        <v>545</v>
      </c>
      <c r="G244" s="8" t="s">
        <v>325</v>
      </c>
      <c r="H244" s="38" t="s">
        <v>26</v>
      </c>
      <c r="I244" s="2"/>
      <c r="J244" s="4">
        <v>8</v>
      </c>
      <c r="K244" s="4" t="s">
        <v>169</v>
      </c>
      <c r="L244" s="5">
        <v>1.2999999999999999E-3</v>
      </c>
      <c r="M244" s="2"/>
      <c r="N244" s="22">
        <v>8</v>
      </c>
      <c r="O244" s="22">
        <v>7.9989999999999997</v>
      </c>
      <c r="P244" s="22">
        <v>7.9989999999999997</v>
      </c>
      <c r="Q244" s="27">
        <f t="shared" si="120"/>
        <v>-1.2500000000004174E-4</v>
      </c>
      <c r="R244" s="27">
        <f t="shared" si="121"/>
        <v>-1.2500000000004174E-4</v>
      </c>
      <c r="S244" s="38" t="s">
        <v>26</v>
      </c>
      <c r="T244" s="23"/>
      <c r="U244" s="11"/>
      <c r="V244" s="22">
        <v>8</v>
      </c>
      <c r="W244" s="22">
        <v>8.0020000000000007</v>
      </c>
      <c r="X244" s="22">
        <v>8.0030000000000001</v>
      </c>
      <c r="Y244" s="27">
        <f t="shared" si="122"/>
        <v>2.5000000000008349E-4</v>
      </c>
      <c r="Z244" s="27">
        <f t="shared" si="123"/>
        <v>3.7500000000001421E-4</v>
      </c>
      <c r="AA244" s="38" t="s">
        <v>26</v>
      </c>
      <c r="AB244" s="23"/>
      <c r="AC244" s="11"/>
      <c r="AD244" s="22">
        <v>8</v>
      </c>
      <c r="AE244" s="22">
        <v>8.0020000000000007</v>
      </c>
      <c r="AF244" s="22">
        <v>8.0030000000000001</v>
      </c>
      <c r="AG244" s="27">
        <f t="shared" si="124"/>
        <v>2.5000000000008349E-4</v>
      </c>
      <c r="AH244" s="27">
        <f t="shared" si="125"/>
        <v>3.7500000000001421E-4</v>
      </c>
      <c r="AI244" s="38" t="s">
        <v>26</v>
      </c>
      <c r="AJ244" s="23"/>
      <c r="AK244" s="11"/>
      <c r="AL244" s="22">
        <v>8</v>
      </c>
      <c r="AM244" s="22">
        <v>7.9960000000000004</v>
      </c>
      <c r="AN244" s="22">
        <v>7.9980000000000002</v>
      </c>
      <c r="AO244" s="27">
        <f t="shared" si="126"/>
        <v>-4.9999999999994493E-4</v>
      </c>
      <c r="AP244" s="27">
        <f t="shared" si="127"/>
        <v>-2.4999999999997247E-4</v>
      </c>
      <c r="AQ244" s="38" t="s">
        <v>26</v>
      </c>
      <c r="AR244" s="22">
        <f>MAX(AM243:AN250)</f>
        <v>8.0090000000000003</v>
      </c>
      <c r="AS244" s="11"/>
      <c r="AT244" s="12"/>
    </row>
    <row r="245" spans="2:46" customFormat="1" ht="28.8" x14ac:dyDescent="0.3">
      <c r="B245" s="10" t="s">
        <v>528</v>
      </c>
      <c r="C245" s="61"/>
      <c r="D245" s="8" t="s">
        <v>320</v>
      </c>
      <c r="E245" s="8" t="s">
        <v>320</v>
      </c>
      <c r="F245" s="8" t="s">
        <v>545</v>
      </c>
      <c r="G245" s="8" t="s">
        <v>327</v>
      </c>
      <c r="H245" s="38" t="s">
        <v>26</v>
      </c>
      <c r="I245" s="2"/>
      <c r="J245" s="4">
        <v>8</v>
      </c>
      <c r="K245" s="4" t="s">
        <v>169</v>
      </c>
      <c r="L245" s="5">
        <v>1.2999999999999999E-3</v>
      </c>
      <c r="M245" s="2"/>
      <c r="N245" s="22">
        <v>8</v>
      </c>
      <c r="O245" s="22">
        <v>7.9989999999999997</v>
      </c>
      <c r="P245" s="22">
        <v>7.9989999999999997</v>
      </c>
      <c r="Q245" s="27">
        <f t="shared" si="120"/>
        <v>-1.2500000000004174E-4</v>
      </c>
      <c r="R245" s="27">
        <f t="shared" si="121"/>
        <v>-1.2500000000004174E-4</v>
      </c>
      <c r="S245" s="38" t="s">
        <v>26</v>
      </c>
      <c r="T245" s="23"/>
      <c r="U245" s="11"/>
      <c r="V245" s="22">
        <v>8</v>
      </c>
      <c r="W245" s="22">
        <v>8.0009999999999994</v>
      </c>
      <c r="X245" s="22">
        <v>8.0030000000000001</v>
      </c>
      <c r="Y245" s="27">
        <f t="shared" si="122"/>
        <v>1.2499999999993072E-4</v>
      </c>
      <c r="Z245" s="27">
        <f t="shared" si="123"/>
        <v>3.7500000000001421E-4</v>
      </c>
      <c r="AA245" s="38" t="s">
        <v>26</v>
      </c>
      <c r="AB245" s="23"/>
      <c r="AC245" s="11"/>
      <c r="AD245" s="22">
        <v>8</v>
      </c>
      <c r="AE245" s="22">
        <v>8.0009999999999994</v>
      </c>
      <c r="AF245" s="22">
        <v>8.0030000000000001</v>
      </c>
      <c r="AG245" s="27">
        <f t="shared" si="124"/>
        <v>1.2499999999993072E-4</v>
      </c>
      <c r="AH245" s="27">
        <f t="shared" si="125"/>
        <v>3.7500000000001421E-4</v>
      </c>
      <c r="AI245" s="38" t="s">
        <v>26</v>
      </c>
      <c r="AJ245" s="23"/>
      <c r="AK245" s="11"/>
      <c r="AL245" s="22">
        <v>8</v>
      </c>
      <c r="AM245" s="22">
        <v>8.0030000000000001</v>
      </c>
      <c r="AN245" s="22">
        <v>8.0039999999999996</v>
      </c>
      <c r="AO245" s="27">
        <f t="shared" si="126"/>
        <v>3.7500000000001421E-4</v>
      </c>
      <c r="AP245" s="27">
        <f t="shared" si="127"/>
        <v>4.9999999999994493E-4</v>
      </c>
      <c r="AQ245" s="38" t="s">
        <v>26</v>
      </c>
      <c r="AR245" s="23"/>
      <c r="AS245" s="11"/>
      <c r="AT245" s="12"/>
    </row>
    <row r="246" spans="2:46" customFormat="1" ht="28.8" x14ac:dyDescent="0.3">
      <c r="B246" s="10" t="s">
        <v>529</v>
      </c>
      <c r="C246" s="61"/>
      <c r="D246" s="8" t="s">
        <v>320</v>
      </c>
      <c r="E246" s="8" t="s">
        <v>320</v>
      </c>
      <c r="F246" s="8" t="s">
        <v>545</v>
      </c>
      <c r="G246" s="8" t="s">
        <v>329</v>
      </c>
      <c r="H246" s="38" t="s">
        <v>26</v>
      </c>
      <c r="I246" s="2"/>
      <c r="J246" s="4">
        <v>8</v>
      </c>
      <c r="K246" s="4" t="s">
        <v>169</v>
      </c>
      <c r="L246" s="5">
        <v>1.2999999999999999E-3</v>
      </c>
      <c r="M246" s="2"/>
      <c r="N246" s="22">
        <v>8</v>
      </c>
      <c r="O246" s="22">
        <v>7.9989999999999997</v>
      </c>
      <c r="P246" s="22">
        <v>7.9989999999999997</v>
      </c>
      <c r="Q246" s="27">
        <f t="shared" si="120"/>
        <v>-1.2500000000004174E-4</v>
      </c>
      <c r="R246" s="27">
        <f t="shared" si="121"/>
        <v>-1.2500000000004174E-4</v>
      </c>
      <c r="S246" s="38" t="s">
        <v>26</v>
      </c>
      <c r="T246" s="23"/>
      <c r="U246" s="11"/>
      <c r="V246" s="22">
        <v>8</v>
      </c>
      <c r="W246" s="22">
        <v>8.0020000000000007</v>
      </c>
      <c r="X246" s="22">
        <v>8.0030000000000001</v>
      </c>
      <c r="Y246" s="27">
        <f t="shared" si="122"/>
        <v>2.5000000000008349E-4</v>
      </c>
      <c r="Z246" s="27">
        <f t="shared" si="123"/>
        <v>3.7500000000001421E-4</v>
      </c>
      <c r="AA246" s="38" t="s">
        <v>26</v>
      </c>
      <c r="AB246" s="23"/>
      <c r="AC246" s="11"/>
      <c r="AD246" s="22">
        <v>8</v>
      </c>
      <c r="AE246" s="22">
        <v>8.0020000000000007</v>
      </c>
      <c r="AF246" s="22">
        <v>8.0030000000000001</v>
      </c>
      <c r="AG246" s="27">
        <f t="shared" si="124"/>
        <v>2.5000000000008349E-4</v>
      </c>
      <c r="AH246" s="27">
        <f t="shared" si="125"/>
        <v>3.7500000000001421E-4</v>
      </c>
      <c r="AI246" s="38" t="s">
        <v>26</v>
      </c>
      <c r="AJ246" s="23"/>
      <c r="AK246" s="11"/>
      <c r="AL246" s="22">
        <v>8</v>
      </c>
      <c r="AM246" s="22">
        <v>8.0079999999999991</v>
      </c>
      <c r="AN246" s="22">
        <v>8.0090000000000003</v>
      </c>
      <c r="AO246" s="27">
        <f t="shared" si="126"/>
        <v>9.9999999999988987E-4</v>
      </c>
      <c r="AP246" s="27">
        <f t="shared" si="127"/>
        <v>1.1250000000000426E-3</v>
      </c>
      <c r="AQ246" s="38" t="s">
        <v>26</v>
      </c>
      <c r="AR246" s="23"/>
      <c r="AS246" s="11"/>
      <c r="AT246" s="12"/>
    </row>
    <row r="247" spans="2:46" customFormat="1" ht="28.8" x14ac:dyDescent="0.3">
      <c r="B247" s="10" t="s">
        <v>530</v>
      </c>
      <c r="C247" s="61"/>
      <c r="D247" s="8" t="s">
        <v>320</v>
      </c>
      <c r="E247" s="8" t="s">
        <v>320</v>
      </c>
      <c r="F247" s="8" t="s">
        <v>545</v>
      </c>
      <c r="G247" s="8" t="s">
        <v>331</v>
      </c>
      <c r="H247" s="38" t="s">
        <v>26</v>
      </c>
      <c r="I247" s="2"/>
      <c r="J247" s="4">
        <v>8</v>
      </c>
      <c r="K247" s="4" t="s">
        <v>169</v>
      </c>
      <c r="L247" s="5">
        <v>1.2999999999999999E-3</v>
      </c>
      <c r="M247" s="2"/>
      <c r="N247" s="22">
        <v>8</v>
      </c>
      <c r="O247" s="22">
        <v>7.9989999999999997</v>
      </c>
      <c r="P247" s="22">
        <v>7.9989999999999997</v>
      </c>
      <c r="Q247" s="27">
        <f t="shared" si="120"/>
        <v>-1.2500000000004174E-4</v>
      </c>
      <c r="R247" s="27">
        <f t="shared" si="121"/>
        <v>-1.2500000000004174E-4</v>
      </c>
      <c r="S247" s="38" t="s">
        <v>26</v>
      </c>
      <c r="T247" s="23"/>
      <c r="U247" s="11"/>
      <c r="V247" s="22">
        <v>8</v>
      </c>
      <c r="W247" s="22">
        <v>8.0009999999999994</v>
      </c>
      <c r="X247" s="22">
        <v>8.0009999999999994</v>
      </c>
      <c r="Y247" s="27">
        <f t="shared" si="122"/>
        <v>1.2499999999993072E-4</v>
      </c>
      <c r="Z247" s="27">
        <f t="shared" si="123"/>
        <v>1.2499999999993072E-4</v>
      </c>
      <c r="AA247" s="38" t="s">
        <v>26</v>
      </c>
      <c r="AB247" s="23"/>
      <c r="AC247" s="11"/>
      <c r="AD247" s="22">
        <v>8</v>
      </c>
      <c r="AE247" s="22">
        <v>8.0009999999999994</v>
      </c>
      <c r="AF247" s="22">
        <v>8.0009999999999994</v>
      </c>
      <c r="AG247" s="27">
        <f t="shared" si="124"/>
        <v>1.2499999999993072E-4</v>
      </c>
      <c r="AH247" s="27">
        <f t="shared" si="125"/>
        <v>1.2499999999993072E-4</v>
      </c>
      <c r="AI247" s="38" t="s">
        <v>26</v>
      </c>
      <c r="AJ247" s="23"/>
      <c r="AK247" s="11"/>
      <c r="AL247" s="22">
        <v>8</v>
      </c>
      <c r="AM247" s="22">
        <v>7.9960000000000004</v>
      </c>
      <c r="AN247" s="22">
        <v>7.9980000000000002</v>
      </c>
      <c r="AO247" s="27">
        <f t="shared" si="126"/>
        <v>-4.9999999999994493E-4</v>
      </c>
      <c r="AP247" s="27">
        <f t="shared" si="127"/>
        <v>-2.4999999999997247E-4</v>
      </c>
      <c r="AQ247" s="38" t="s">
        <v>26</v>
      </c>
      <c r="AR247" s="23"/>
      <c r="AS247" s="11"/>
      <c r="AT247" s="12"/>
    </row>
    <row r="248" spans="2:46" customFormat="1" ht="28.8" x14ac:dyDescent="0.3">
      <c r="B248" s="10" t="s">
        <v>531</v>
      </c>
      <c r="C248" s="61"/>
      <c r="D248" s="8" t="s">
        <v>320</v>
      </c>
      <c r="E248" s="8" t="s">
        <v>320</v>
      </c>
      <c r="F248" s="8" t="s">
        <v>545</v>
      </c>
      <c r="G248" s="8" t="s">
        <v>333</v>
      </c>
      <c r="H248" s="38" t="s">
        <v>26</v>
      </c>
      <c r="I248" s="2"/>
      <c r="J248" s="4">
        <v>8</v>
      </c>
      <c r="K248" s="4" t="s">
        <v>169</v>
      </c>
      <c r="L248" s="5">
        <v>1.2999999999999999E-3</v>
      </c>
      <c r="M248" s="2"/>
      <c r="N248" s="22">
        <v>8</v>
      </c>
      <c r="O248" s="22">
        <v>7.9989999999999997</v>
      </c>
      <c r="P248" s="22">
        <v>7.9989999999999997</v>
      </c>
      <c r="Q248" s="27">
        <f t="shared" si="120"/>
        <v>-1.2500000000004174E-4</v>
      </c>
      <c r="R248" s="27">
        <f t="shared" si="121"/>
        <v>-1.2500000000004174E-4</v>
      </c>
      <c r="S248" s="38" t="s">
        <v>26</v>
      </c>
      <c r="T248" s="23"/>
      <c r="U248" s="11"/>
      <c r="V248" s="22">
        <v>8</v>
      </c>
      <c r="W248" s="22">
        <v>8</v>
      </c>
      <c r="X248" s="22">
        <v>8.0009999999999994</v>
      </c>
      <c r="Y248" s="27">
        <f t="shared" si="122"/>
        <v>0</v>
      </c>
      <c r="Z248" s="27">
        <f t="shared" si="123"/>
        <v>1.2499999999993072E-4</v>
      </c>
      <c r="AA248" s="38" t="s">
        <v>26</v>
      </c>
      <c r="AB248" s="23"/>
      <c r="AC248" s="11"/>
      <c r="AD248" s="22">
        <v>8</v>
      </c>
      <c r="AE248" s="22">
        <v>8</v>
      </c>
      <c r="AF248" s="22">
        <v>8.0009999999999994</v>
      </c>
      <c r="AG248" s="27">
        <f t="shared" si="124"/>
        <v>0</v>
      </c>
      <c r="AH248" s="27">
        <f t="shared" si="125"/>
        <v>1.2499999999993072E-4</v>
      </c>
      <c r="AI248" s="38" t="s">
        <v>26</v>
      </c>
      <c r="AJ248" s="23"/>
      <c r="AK248" s="11"/>
      <c r="AL248" s="22">
        <v>8</v>
      </c>
      <c r="AM248" s="22">
        <v>8.0079999999999991</v>
      </c>
      <c r="AN248" s="22">
        <v>8.0090000000000003</v>
      </c>
      <c r="AO248" s="27">
        <f t="shared" si="126"/>
        <v>9.9999999999988987E-4</v>
      </c>
      <c r="AP248" s="27">
        <f t="shared" si="127"/>
        <v>1.1250000000000426E-3</v>
      </c>
      <c r="AQ248" s="38" t="s">
        <v>26</v>
      </c>
      <c r="AR248" s="23"/>
      <c r="AS248" s="11"/>
      <c r="AT248" s="12"/>
    </row>
    <row r="249" spans="2:46" customFormat="1" ht="28.8" x14ac:dyDescent="0.3">
      <c r="B249" s="10" t="s">
        <v>532</v>
      </c>
      <c r="C249" s="61"/>
      <c r="D249" s="8" t="s">
        <v>320</v>
      </c>
      <c r="E249" s="8" t="s">
        <v>320</v>
      </c>
      <c r="F249" s="8" t="s">
        <v>545</v>
      </c>
      <c r="G249" s="8" t="s">
        <v>335</v>
      </c>
      <c r="H249" s="38" t="s">
        <v>26</v>
      </c>
      <c r="I249" s="2"/>
      <c r="J249" s="4">
        <v>8</v>
      </c>
      <c r="K249" s="4" t="s">
        <v>169</v>
      </c>
      <c r="L249" s="5">
        <v>1.2999999999999999E-3</v>
      </c>
      <c r="M249" s="2"/>
      <c r="N249" s="22">
        <v>8</v>
      </c>
      <c r="O249" s="22">
        <v>7.9989999999999997</v>
      </c>
      <c r="P249" s="22">
        <v>7.9989999999999997</v>
      </c>
      <c r="Q249" s="27">
        <f t="shared" si="120"/>
        <v>-1.2500000000004174E-4</v>
      </c>
      <c r="R249" s="27">
        <f t="shared" si="121"/>
        <v>-1.2500000000004174E-4</v>
      </c>
      <c r="S249" s="38" t="s">
        <v>26</v>
      </c>
      <c r="T249" s="23"/>
      <c r="U249" s="11"/>
      <c r="V249" s="22">
        <v>8</v>
      </c>
      <c r="W249" s="22">
        <v>8.0009999999999994</v>
      </c>
      <c r="X249" s="22">
        <v>8.0009999999999994</v>
      </c>
      <c r="Y249" s="27">
        <f t="shared" si="122"/>
        <v>1.2499999999993072E-4</v>
      </c>
      <c r="Z249" s="27">
        <f t="shared" si="123"/>
        <v>1.2499999999993072E-4</v>
      </c>
      <c r="AA249" s="38" t="s">
        <v>26</v>
      </c>
      <c r="AB249" s="23"/>
      <c r="AC249" s="11"/>
      <c r="AD249" s="22">
        <v>8</v>
      </c>
      <c r="AE249" s="22">
        <v>8.0009999999999994</v>
      </c>
      <c r="AF249" s="22">
        <v>8.0009999999999994</v>
      </c>
      <c r="AG249" s="27">
        <f t="shared" si="124"/>
        <v>1.2499999999993072E-4</v>
      </c>
      <c r="AH249" s="27">
        <f t="shared" si="125"/>
        <v>1.2499999999993072E-4</v>
      </c>
      <c r="AI249" s="38" t="s">
        <v>26</v>
      </c>
      <c r="AJ249" s="23"/>
      <c r="AK249" s="11"/>
      <c r="AL249" s="22">
        <v>8</v>
      </c>
      <c r="AM249" s="22">
        <v>7.9950000000000001</v>
      </c>
      <c r="AN249" s="22">
        <v>7.9969999999999999</v>
      </c>
      <c r="AO249" s="27">
        <f t="shared" si="126"/>
        <v>-6.2499999999998668E-4</v>
      </c>
      <c r="AP249" s="27">
        <f t="shared" si="127"/>
        <v>-3.7500000000001421E-4</v>
      </c>
      <c r="AQ249" s="38" t="s">
        <v>26</v>
      </c>
      <c r="AR249" s="23"/>
      <c r="AS249" s="11"/>
      <c r="AT249" s="12"/>
    </row>
    <row r="250" spans="2:46" customFormat="1" ht="28.8" x14ac:dyDescent="0.3">
      <c r="B250" s="10" t="s">
        <v>533</v>
      </c>
      <c r="C250" s="61"/>
      <c r="D250" s="8" t="s">
        <v>320</v>
      </c>
      <c r="E250" s="8" t="s">
        <v>320</v>
      </c>
      <c r="F250" s="8" t="s">
        <v>545</v>
      </c>
      <c r="G250" s="8" t="s">
        <v>337</v>
      </c>
      <c r="H250" s="38" t="s">
        <v>26</v>
      </c>
      <c r="I250" s="2"/>
      <c r="J250" s="4">
        <v>8</v>
      </c>
      <c r="K250" s="4" t="s">
        <v>169</v>
      </c>
      <c r="L250" s="5">
        <v>1.2999999999999999E-3</v>
      </c>
      <c r="M250" s="2"/>
      <c r="N250" s="22">
        <v>8</v>
      </c>
      <c r="O250" s="22">
        <v>7.9989999999999997</v>
      </c>
      <c r="P250" s="22">
        <v>7.9989999999999997</v>
      </c>
      <c r="Q250" s="27">
        <f t="shared" si="120"/>
        <v>-1.2500000000004174E-4</v>
      </c>
      <c r="R250" s="27">
        <f t="shared" si="121"/>
        <v>-1.2500000000004174E-4</v>
      </c>
      <c r="S250" s="38" t="s">
        <v>26</v>
      </c>
      <c r="T250" s="23"/>
      <c r="U250" s="11"/>
      <c r="V250" s="22">
        <v>8</v>
      </c>
      <c r="W250" s="22">
        <v>8</v>
      </c>
      <c r="X250" s="22">
        <v>8.0009999999999994</v>
      </c>
      <c r="Y250" s="27">
        <f t="shared" si="122"/>
        <v>0</v>
      </c>
      <c r="Z250" s="27">
        <f t="shared" si="123"/>
        <v>1.2499999999993072E-4</v>
      </c>
      <c r="AA250" s="38" t="s">
        <v>26</v>
      </c>
      <c r="AB250" s="23"/>
      <c r="AC250" s="11"/>
      <c r="AD250" s="22">
        <v>8</v>
      </c>
      <c r="AE250" s="22">
        <v>8</v>
      </c>
      <c r="AF250" s="22">
        <v>8.0009999999999994</v>
      </c>
      <c r="AG250" s="27">
        <f t="shared" si="124"/>
        <v>0</v>
      </c>
      <c r="AH250" s="27">
        <f t="shared" si="125"/>
        <v>1.2499999999993072E-4</v>
      </c>
      <c r="AI250" s="38" t="s">
        <v>26</v>
      </c>
      <c r="AJ250" s="23"/>
      <c r="AK250" s="11"/>
      <c r="AL250" s="22">
        <v>8</v>
      </c>
      <c r="AM250" s="22">
        <v>8.0009999999999994</v>
      </c>
      <c r="AN250" s="22">
        <v>8.0020000000000007</v>
      </c>
      <c r="AO250" s="27">
        <f t="shared" si="126"/>
        <v>1.2499999999993072E-4</v>
      </c>
      <c r="AP250" s="27">
        <f t="shared" si="127"/>
        <v>2.5000000000008349E-4</v>
      </c>
      <c r="AQ250" s="38" t="s">
        <v>26</v>
      </c>
      <c r="AR250" s="23"/>
      <c r="AS250" s="11"/>
      <c r="AT250" s="12"/>
    </row>
    <row r="251" spans="2:46" customFormat="1" ht="28.8" x14ac:dyDescent="0.3">
      <c r="B251" s="10" t="s">
        <v>534</v>
      </c>
      <c r="C251" s="61"/>
      <c r="D251" s="8" t="s">
        <v>320</v>
      </c>
      <c r="E251" s="8" t="s">
        <v>320</v>
      </c>
      <c r="F251" s="8" t="s">
        <v>545</v>
      </c>
      <c r="G251" s="8" t="s">
        <v>324</v>
      </c>
      <c r="H251" s="38" t="s">
        <v>26</v>
      </c>
      <c r="I251" s="2"/>
      <c r="J251" s="4">
        <v>-8</v>
      </c>
      <c r="K251" s="4" t="s">
        <v>169</v>
      </c>
      <c r="L251" s="5">
        <v>1.2999999999999999E-3</v>
      </c>
      <c r="M251" s="2"/>
      <c r="N251" s="22">
        <v>-8</v>
      </c>
      <c r="O251" s="22">
        <v>-8.0009999999999994</v>
      </c>
      <c r="P251" s="22">
        <v>-8.0009999999999994</v>
      </c>
      <c r="Q251" s="27">
        <f t="shared" si="120"/>
        <v>1.2499999999993072E-4</v>
      </c>
      <c r="R251" s="27">
        <f t="shared" si="121"/>
        <v>1.2499999999993072E-4</v>
      </c>
      <c r="S251" s="38" t="s">
        <v>26</v>
      </c>
      <c r="T251" s="23"/>
      <c r="U251" s="11"/>
      <c r="V251" s="22">
        <v>-8</v>
      </c>
      <c r="W251" s="22">
        <v>-8.0050000000000008</v>
      </c>
      <c r="X251" s="22">
        <v>-8.0050000000000008</v>
      </c>
      <c r="Y251" s="27">
        <f t="shared" si="122"/>
        <v>6.250000000000977E-4</v>
      </c>
      <c r="Z251" s="27">
        <f t="shared" si="123"/>
        <v>6.250000000000977E-4</v>
      </c>
      <c r="AA251" s="38" t="s">
        <v>26</v>
      </c>
      <c r="AB251" s="23"/>
      <c r="AC251" s="11"/>
      <c r="AD251" s="22">
        <v>-8</v>
      </c>
      <c r="AE251" s="22">
        <v>-8.0050000000000008</v>
      </c>
      <c r="AF251" s="22">
        <v>-8.0050000000000008</v>
      </c>
      <c r="AG251" s="27">
        <f t="shared" si="124"/>
        <v>6.250000000000977E-4</v>
      </c>
      <c r="AH251" s="27">
        <f t="shared" si="125"/>
        <v>6.250000000000977E-4</v>
      </c>
      <c r="AI251" s="38" t="s">
        <v>26</v>
      </c>
      <c r="AJ251" s="23"/>
      <c r="AK251" s="11"/>
      <c r="AL251" s="22">
        <v>-8</v>
      </c>
      <c r="AM251" s="22">
        <v>-8.0169999999999995</v>
      </c>
      <c r="AN251" s="22">
        <v>-8.016</v>
      </c>
      <c r="AO251" s="27">
        <f t="shared" si="126"/>
        <v>2.1249999999999325E-3</v>
      </c>
      <c r="AP251" s="27">
        <f t="shared" si="127"/>
        <v>2.0000000000000018E-3</v>
      </c>
      <c r="AQ251" s="47" t="s">
        <v>142</v>
      </c>
      <c r="AR251" s="23"/>
      <c r="AS251" s="11"/>
      <c r="AT251" s="12"/>
    </row>
    <row r="252" spans="2:46" customFormat="1" ht="28.8" x14ac:dyDescent="0.3">
      <c r="B252" s="10" t="s">
        <v>535</v>
      </c>
      <c r="C252" s="61"/>
      <c r="D252" s="8" t="s">
        <v>320</v>
      </c>
      <c r="E252" s="8" t="s">
        <v>320</v>
      </c>
      <c r="F252" s="8" t="s">
        <v>545</v>
      </c>
      <c r="G252" s="8" t="s">
        <v>326</v>
      </c>
      <c r="H252" s="38" t="s">
        <v>26</v>
      </c>
      <c r="I252" s="2"/>
      <c r="J252" s="4">
        <v>-8</v>
      </c>
      <c r="K252" s="4" t="s">
        <v>169</v>
      </c>
      <c r="L252" s="5">
        <v>1.2999999999999999E-3</v>
      </c>
      <c r="M252" s="2"/>
      <c r="N252" s="22">
        <v>-8</v>
      </c>
      <c r="O252" s="22">
        <v>-8.0020000000000007</v>
      </c>
      <c r="P252" s="22">
        <v>-8.0009999999999994</v>
      </c>
      <c r="Q252" s="27">
        <f t="shared" si="120"/>
        <v>2.5000000000008349E-4</v>
      </c>
      <c r="R252" s="27">
        <f t="shared" si="121"/>
        <v>1.2499999999993072E-4</v>
      </c>
      <c r="S252" s="38" t="s">
        <v>26</v>
      </c>
      <c r="T252" s="23"/>
      <c r="U252" s="11"/>
      <c r="V252" s="22">
        <v>-8</v>
      </c>
      <c r="W252" s="22">
        <v>-8.0050000000000008</v>
      </c>
      <c r="X252" s="22">
        <v>-8.0050000000000008</v>
      </c>
      <c r="Y252" s="27">
        <f t="shared" si="122"/>
        <v>6.250000000000977E-4</v>
      </c>
      <c r="Z252" s="27">
        <f t="shared" si="123"/>
        <v>6.250000000000977E-4</v>
      </c>
      <c r="AA252" s="38" t="s">
        <v>26</v>
      </c>
      <c r="AB252" s="23"/>
      <c r="AC252" s="11"/>
      <c r="AD252" s="22">
        <v>-8</v>
      </c>
      <c r="AE252" s="22">
        <v>-8.0050000000000008</v>
      </c>
      <c r="AF252" s="22">
        <v>-8.0050000000000008</v>
      </c>
      <c r="AG252" s="27">
        <f t="shared" si="124"/>
        <v>6.250000000000977E-4</v>
      </c>
      <c r="AH252" s="27">
        <f t="shared" si="125"/>
        <v>6.250000000000977E-4</v>
      </c>
      <c r="AI252" s="38" t="s">
        <v>26</v>
      </c>
      <c r="AJ252" s="23"/>
      <c r="AK252" s="11"/>
      <c r="AL252" s="22">
        <v>-8</v>
      </c>
      <c r="AM252" s="22">
        <v>-8.0180000000000007</v>
      </c>
      <c r="AN252" s="22">
        <v>-8.016</v>
      </c>
      <c r="AO252" s="27">
        <f t="shared" si="126"/>
        <v>2.2500000000000853E-3</v>
      </c>
      <c r="AP252" s="27">
        <f t="shared" si="127"/>
        <v>2.0000000000000018E-3</v>
      </c>
      <c r="AQ252" s="47" t="s">
        <v>142</v>
      </c>
      <c r="AR252" s="23"/>
      <c r="AS252" s="11"/>
      <c r="AT252" s="12"/>
    </row>
    <row r="253" spans="2:46" customFormat="1" ht="28.8" x14ac:dyDescent="0.3">
      <c r="B253" s="10" t="s">
        <v>536</v>
      </c>
      <c r="C253" s="61"/>
      <c r="D253" s="8" t="s">
        <v>320</v>
      </c>
      <c r="E253" s="8" t="s">
        <v>320</v>
      </c>
      <c r="F253" s="8" t="s">
        <v>545</v>
      </c>
      <c r="G253" s="8" t="s">
        <v>328</v>
      </c>
      <c r="H253" s="38" t="s">
        <v>26</v>
      </c>
      <c r="I253" s="2"/>
      <c r="J253" s="4">
        <v>-8</v>
      </c>
      <c r="K253" s="4" t="s">
        <v>169</v>
      </c>
      <c r="L253" s="5">
        <v>1.2999999999999999E-3</v>
      </c>
      <c r="M253" s="2"/>
      <c r="N253" s="22">
        <v>-8</v>
      </c>
      <c r="O253" s="22">
        <v>-8.0020000000000007</v>
      </c>
      <c r="P253" s="22">
        <v>-8.0009999999999994</v>
      </c>
      <c r="Q253" s="27">
        <f t="shared" si="120"/>
        <v>2.5000000000008349E-4</v>
      </c>
      <c r="R253" s="27">
        <f t="shared" si="121"/>
        <v>1.2499999999993072E-4</v>
      </c>
      <c r="S253" s="38" t="s">
        <v>26</v>
      </c>
      <c r="T253" s="23"/>
      <c r="U253" s="11"/>
      <c r="V253" s="22">
        <v>-8</v>
      </c>
      <c r="W253" s="22">
        <v>-8.0050000000000008</v>
      </c>
      <c r="X253" s="22">
        <v>-8.0050000000000008</v>
      </c>
      <c r="Y253" s="27">
        <f t="shared" si="122"/>
        <v>6.250000000000977E-4</v>
      </c>
      <c r="Z253" s="27">
        <f t="shared" si="123"/>
        <v>6.250000000000977E-4</v>
      </c>
      <c r="AA253" s="38" t="s">
        <v>26</v>
      </c>
      <c r="AB253" s="23"/>
      <c r="AC253" s="11"/>
      <c r="AD253" s="22">
        <v>-8</v>
      </c>
      <c r="AE253" s="22">
        <v>-8.0050000000000008</v>
      </c>
      <c r="AF253" s="22">
        <v>-8.0050000000000008</v>
      </c>
      <c r="AG253" s="27">
        <f t="shared" si="124"/>
        <v>6.250000000000977E-4</v>
      </c>
      <c r="AH253" s="27">
        <f t="shared" si="125"/>
        <v>6.250000000000977E-4</v>
      </c>
      <c r="AI253" s="38" t="s">
        <v>26</v>
      </c>
      <c r="AJ253" s="23"/>
      <c r="AK253" s="11"/>
      <c r="AL253" s="22">
        <v>-8</v>
      </c>
      <c r="AM253" s="22">
        <v>-8.0239999999999991</v>
      </c>
      <c r="AN253" s="22">
        <v>-8.0229999999999997</v>
      </c>
      <c r="AO253" s="27">
        <f t="shared" si="126"/>
        <v>2.9999999999998916E-3</v>
      </c>
      <c r="AP253" s="27">
        <f t="shared" si="127"/>
        <v>2.8749999999999609E-3</v>
      </c>
      <c r="AQ253" s="47" t="s">
        <v>142</v>
      </c>
      <c r="AR253" s="23"/>
      <c r="AS253" s="11"/>
      <c r="AT253" s="12"/>
    </row>
    <row r="254" spans="2:46" customFormat="1" ht="28.8" x14ac:dyDescent="0.3">
      <c r="B254" s="10" t="s">
        <v>537</v>
      </c>
      <c r="C254" s="61"/>
      <c r="D254" s="8" t="s">
        <v>320</v>
      </c>
      <c r="E254" s="8" t="s">
        <v>320</v>
      </c>
      <c r="F254" s="8" t="s">
        <v>545</v>
      </c>
      <c r="G254" s="8" t="s">
        <v>330</v>
      </c>
      <c r="H254" s="38" t="s">
        <v>26</v>
      </c>
      <c r="I254" s="2"/>
      <c r="J254" s="4">
        <v>-8</v>
      </c>
      <c r="K254" s="4" t="s">
        <v>169</v>
      </c>
      <c r="L254" s="5">
        <v>1.2999999999999999E-3</v>
      </c>
      <c r="M254" s="2"/>
      <c r="N254" s="22">
        <v>-8</v>
      </c>
      <c r="O254" s="22">
        <v>-8.0020000000000007</v>
      </c>
      <c r="P254" s="22">
        <v>-8.0009999999999994</v>
      </c>
      <c r="Q254" s="27">
        <f t="shared" si="120"/>
        <v>2.5000000000008349E-4</v>
      </c>
      <c r="R254" s="27">
        <f t="shared" si="121"/>
        <v>1.2499999999993072E-4</v>
      </c>
      <c r="S254" s="38" t="s">
        <v>26</v>
      </c>
      <c r="T254" s="23"/>
      <c r="U254" s="11"/>
      <c r="V254" s="22">
        <v>-8</v>
      </c>
      <c r="W254" s="22">
        <v>-8.0050000000000008</v>
      </c>
      <c r="X254" s="22">
        <v>-8.0050000000000008</v>
      </c>
      <c r="Y254" s="27">
        <f t="shared" si="122"/>
        <v>6.250000000000977E-4</v>
      </c>
      <c r="Z254" s="27">
        <f t="shared" si="123"/>
        <v>6.250000000000977E-4</v>
      </c>
      <c r="AA254" s="38" t="s">
        <v>26</v>
      </c>
      <c r="AB254" s="23"/>
      <c r="AC254" s="11"/>
      <c r="AD254" s="22">
        <v>-8</v>
      </c>
      <c r="AE254" s="22">
        <v>-8.0050000000000008</v>
      </c>
      <c r="AF254" s="22">
        <v>-8.0050000000000008</v>
      </c>
      <c r="AG254" s="27">
        <f t="shared" si="124"/>
        <v>6.250000000000977E-4</v>
      </c>
      <c r="AH254" s="27">
        <f t="shared" si="125"/>
        <v>6.250000000000977E-4</v>
      </c>
      <c r="AI254" s="38" t="s">
        <v>26</v>
      </c>
      <c r="AJ254" s="23"/>
      <c r="AK254" s="11"/>
      <c r="AL254" s="22">
        <v>-8</v>
      </c>
      <c r="AM254" s="22">
        <v>-8.0299999999999994</v>
      </c>
      <c r="AN254" s="22">
        <v>-8.0280000000000005</v>
      </c>
      <c r="AO254" s="27">
        <f t="shared" si="126"/>
        <v>3.7499999999999201E-3</v>
      </c>
      <c r="AP254" s="27">
        <f t="shared" si="127"/>
        <v>3.5000000000000586E-3</v>
      </c>
      <c r="AQ254" s="47" t="s">
        <v>142</v>
      </c>
      <c r="AR254" s="23"/>
      <c r="AS254" s="11"/>
      <c r="AT254" s="12"/>
    </row>
    <row r="255" spans="2:46" customFormat="1" ht="28.8" x14ac:dyDescent="0.3">
      <c r="B255" s="10" t="s">
        <v>538</v>
      </c>
      <c r="C255" s="61"/>
      <c r="D255" s="8" t="s">
        <v>320</v>
      </c>
      <c r="E255" s="8" t="s">
        <v>320</v>
      </c>
      <c r="F255" s="8" t="s">
        <v>545</v>
      </c>
      <c r="G255" s="8" t="s">
        <v>332</v>
      </c>
      <c r="H255" s="38" t="s">
        <v>26</v>
      </c>
      <c r="I255" s="2"/>
      <c r="J255" s="4">
        <v>-8</v>
      </c>
      <c r="K255" s="4" t="s">
        <v>169</v>
      </c>
      <c r="L255" s="5">
        <v>1.2999999999999999E-3</v>
      </c>
      <c r="M255" s="2"/>
      <c r="N255" s="22">
        <v>-8</v>
      </c>
      <c r="O255" s="22">
        <v>-8.0030000000000001</v>
      </c>
      <c r="P255" s="22">
        <v>-8.0030000000000001</v>
      </c>
      <c r="Q255" s="27">
        <f t="shared" si="120"/>
        <v>3.7500000000001421E-4</v>
      </c>
      <c r="R255" s="27">
        <f t="shared" si="121"/>
        <v>3.7500000000001421E-4</v>
      </c>
      <c r="S255" s="38" t="s">
        <v>26</v>
      </c>
      <c r="T255" s="23"/>
      <c r="U255" s="11"/>
      <c r="V255" s="22">
        <v>-8</v>
      </c>
      <c r="W255" s="22">
        <v>-8.0020000000000007</v>
      </c>
      <c r="X255" s="22">
        <v>-8.0020000000000007</v>
      </c>
      <c r="Y255" s="27">
        <f t="shared" si="122"/>
        <v>2.5000000000008349E-4</v>
      </c>
      <c r="Z255" s="27">
        <f t="shared" si="123"/>
        <v>2.5000000000008349E-4</v>
      </c>
      <c r="AA255" s="38" t="s">
        <v>26</v>
      </c>
      <c r="AB255" s="23"/>
      <c r="AC255" s="11"/>
      <c r="AD255" s="22">
        <v>-8</v>
      </c>
      <c r="AE255" s="22">
        <v>-8.0020000000000007</v>
      </c>
      <c r="AF255" s="22">
        <v>-8.0020000000000007</v>
      </c>
      <c r="AG255" s="27">
        <f t="shared" si="124"/>
        <v>2.5000000000008349E-4</v>
      </c>
      <c r="AH255" s="27">
        <f t="shared" si="125"/>
        <v>2.5000000000008349E-4</v>
      </c>
      <c r="AI255" s="38" t="s">
        <v>26</v>
      </c>
      <c r="AJ255" s="23"/>
      <c r="AK255" s="11"/>
      <c r="AL255" s="22">
        <v>-8</v>
      </c>
      <c r="AM255" s="22">
        <v>-8.0169999999999995</v>
      </c>
      <c r="AN255" s="22">
        <v>-8.016</v>
      </c>
      <c r="AO255" s="27">
        <f t="shared" si="126"/>
        <v>2.1249999999999325E-3</v>
      </c>
      <c r="AP255" s="27">
        <f t="shared" si="127"/>
        <v>2.0000000000000018E-3</v>
      </c>
      <c r="AQ255" s="47" t="s">
        <v>142</v>
      </c>
      <c r="AR255" s="23"/>
      <c r="AS255" s="11"/>
      <c r="AT255" s="12"/>
    </row>
    <row r="256" spans="2:46" customFormat="1" ht="28.8" x14ac:dyDescent="0.3">
      <c r="B256" s="10" t="s">
        <v>579</v>
      </c>
      <c r="C256" s="61"/>
      <c r="D256" s="8" t="s">
        <v>320</v>
      </c>
      <c r="E256" s="8" t="s">
        <v>320</v>
      </c>
      <c r="F256" s="8" t="s">
        <v>545</v>
      </c>
      <c r="G256" s="8" t="s">
        <v>334</v>
      </c>
      <c r="H256" s="38" t="s">
        <v>26</v>
      </c>
      <c r="I256" s="2"/>
      <c r="J256" s="4">
        <v>-8</v>
      </c>
      <c r="K256" s="4" t="s">
        <v>169</v>
      </c>
      <c r="L256" s="5">
        <v>1.2999999999999999E-3</v>
      </c>
      <c r="M256" s="2"/>
      <c r="N256" s="22">
        <v>-8</v>
      </c>
      <c r="O256" s="22">
        <v>-8.0020000000000007</v>
      </c>
      <c r="P256" s="22">
        <v>-8.0020000000000007</v>
      </c>
      <c r="Q256" s="27">
        <f t="shared" si="120"/>
        <v>2.5000000000008349E-4</v>
      </c>
      <c r="R256" s="27">
        <f t="shared" si="121"/>
        <v>2.5000000000008349E-4</v>
      </c>
      <c r="S256" s="38" t="s">
        <v>26</v>
      </c>
      <c r="T256" s="23"/>
      <c r="U256" s="11"/>
      <c r="V256" s="22">
        <v>-8</v>
      </c>
      <c r="W256" s="22">
        <v>-8.0020000000000007</v>
      </c>
      <c r="X256" s="22">
        <v>-8.0020000000000007</v>
      </c>
      <c r="Y256" s="27">
        <f t="shared" si="122"/>
        <v>2.5000000000008349E-4</v>
      </c>
      <c r="Z256" s="27">
        <f t="shared" si="123"/>
        <v>2.5000000000008349E-4</v>
      </c>
      <c r="AA256" s="38" t="s">
        <v>26</v>
      </c>
      <c r="AB256" s="23"/>
      <c r="AC256" s="11"/>
      <c r="AD256" s="22">
        <v>-8</v>
      </c>
      <c r="AE256" s="22">
        <v>-8.0020000000000007</v>
      </c>
      <c r="AF256" s="22">
        <v>-8.0020000000000007</v>
      </c>
      <c r="AG256" s="27">
        <f t="shared" si="124"/>
        <v>2.5000000000008349E-4</v>
      </c>
      <c r="AH256" s="27">
        <f t="shared" si="125"/>
        <v>2.5000000000008349E-4</v>
      </c>
      <c r="AI256" s="38" t="s">
        <v>26</v>
      </c>
      <c r="AJ256" s="23"/>
      <c r="AK256" s="11"/>
      <c r="AL256" s="22">
        <v>-8</v>
      </c>
      <c r="AM256" s="22">
        <v>-8.0280000000000005</v>
      </c>
      <c r="AN256" s="22">
        <v>-8.0250000000000004</v>
      </c>
      <c r="AO256" s="27">
        <f t="shared" si="126"/>
        <v>3.5000000000000586E-3</v>
      </c>
      <c r="AP256" s="27">
        <f t="shared" si="127"/>
        <v>3.1250000000000444E-3</v>
      </c>
      <c r="AQ256" s="47" t="s">
        <v>142</v>
      </c>
      <c r="AR256" s="23"/>
      <c r="AS256" s="11"/>
      <c r="AT256" s="12"/>
    </row>
    <row r="257" spans="2:46" customFormat="1" ht="28.8" x14ac:dyDescent="0.3">
      <c r="B257" s="10" t="s">
        <v>580</v>
      </c>
      <c r="C257" s="61"/>
      <c r="D257" s="8" t="s">
        <v>320</v>
      </c>
      <c r="E257" s="8" t="s">
        <v>320</v>
      </c>
      <c r="F257" s="8" t="s">
        <v>545</v>
      </c>
      <c r="G257" s="8" t="s">
        <v>336</v>
      </c>
      <c r="H257" s="38" t="s">
        <v>26</v>
      </c>
      <c r="I257" s="2"/>
      <c r="J257" s="4">
        <v>-8</v>
      </c>
      <c r="K257" s="4" t="s">
        <v>169</v>
      </c>
      <c r="L257" s="5">
        <v>1.2999999999999999E-3</v>
      </c>
      <c r="M257" s="2"/>
      <c r="N257" s="22">
        <v>-8</v>
      </c>
      <c r="O257" s="22">
        <v>-8.0020000000000007</v>
      </c>
      <c r="P257" s="22">
        <v>-8.0020000000000007</v>
      </c>
      <c r="Q257" s="27">
        <f t="shared" si="120"/>
        <v>2.5000000000008349E-4</v>
      </c>
      <c r="R257" s="27">
        <f t="shared" si="121"/>
        <v>2.5000000000008349E-4</v>
      </c>
      <c r="S257" s="38" t="s">
        <v>26</v>
      </c>
      <c r="T257" s="23"/>
      <c r="U257" s="11"/>
      <c r="V257" s="22">
        <v>-8</v>
      </c>
      <c r="W257" s="22">
        <v>-8.0030000000000001</v>
      </c>
      <c r="X257" s="22">
        <v>-8.0020000000000007</v>
      </c>
      <c r="Y257" s="27">
        <f t="shared" si="122"/>
        <v>3.7500000000001421E-4</v>
      </c>
      <c r="Z257" s="27">
        <f t="shared" si="123"/>
        <v>2.5000000000008349E-4</v>
      </c>
      <c r="AA257" s="38" t="s">
        <v>26</v>
      </c>
      <c r="AB257" s="23"/>
      <c r="AC257" s="11"/>
      <c r="AD257" s="22">
        <v>-8</v>
      </c>
      <c r="AE257" s="22">
        <v>-8.0030000000000001</v>
      </c>
      <c r="AF257" s="22">
        <v>-8.0020000000000007</v>
      </c>
      <c r="AG257" s="27">
        <f t="shared" si="124"/>
        <v>3.7500000000001421E-4</v>
      </c>
      <c r="AH257" s="27">
        <f t="shared" si="125"/>
        <v>2.5000000000008349E-4</v>
      </c>
      <c r="AI257" s="38" t="s">
        <v>26</v>
      </c>
      <c r="AJ257" s="23"/>
      <c r="AK257" s="11"/>
      <c r="AL257" s="22">
        <v>-8</v>
      </c>
      <c r="AM257" s="22">
        <v>-8.016</v>
      </c>
      <c r="AN257" s="22">
        <v>-8.0150000000000006</v>
      </c>
      <c r="AO257" s="27">
        <f t="shared" si="126"/>
        <v>2.0000000000000018E-3</v>
      </c>
      <c r="AP257" s="27">
        <f t="shared" si="127"/>
        <v>1.8750000000000711E-3</v>
      </c>
      <c r="AQ257" s="47" t="s">
        <v>142</v>
      </c>
      <c r="AR257" s="23"/>
      <c r="AS257" s="11"/>
      <c r="AT257" s="12"/>
    </row>
    <row r="258" spans="2:46" customFormat="1" ht="28.8" x14ac:dyDescent="0.3">
      <c r="B258" s="10" t="s">
        <v>581</v>
      </c>
      <c r="C258" s="61"/>
      <c r="D258" s="8" t="s">
        <v>320</v>
      </c>
      <c r="E258" s="8" t="s">
        <v>320</v>
      </c>
      <c r="F258" s="8" t="s">
        <v>545</v>
      </c>
      <c r="G258" s="8" t="s">
        <v>338</v>
      </c>
      <c r="H258" s="38" t="s">
        <v>26</v>
      </c>
      <c r="I258" s="2"/>
      <c r="J258" s="4">
        <v>-8</v>
      </c>
      <c r="K258" s="4" t="s">
        <v>169</v>
      </c>
      <c r="L258" s="5">
        <v>1.2999999999999999E-3</v>
      </c>
      <c r="M258" s="2"/>
      <c r="N258" s="22">
        <v>-8</v>
      </c>
      <c r="O258" s="22">
        <v>-8.0009999999999994</v>
      </c>
      <c r="P258" s="22">
        <v>-8.0020000000000007</v>
      </c>
      <c r="Q258" s="27">
        <f t="shared" si="120"/>
        <v>1.2499999999993072E-4</v>
      </c>
      <c r="R258" s="27">
        <f t="shared" si="121"/>
        <v>2.5000000000008349E-4</v>
      </c>
      <c r="S258" s="38" t="s">
        <v>26</v>
      </c>
      <c r="T258" s="23"/>
      <c r="U258" s="11"/>
      <c r="V258" s="22">
        <v>-8</v>
      </c>
      <c r="W258" s="22">
        <v>-8.0030000000000001</v>
      </c>
      <c r="X258" s="22">
        <v>-8.0020000000000007</v>
      </c>
      <c r="Y258" s="27">
        <f t="shared" si="122"/>
        <v>3.7500000000001421E-4</v>
      </c>
      <c r="Z258" s="27">
        <f t="shared" si="123"/>
        <v>2.5000000000008349E-4</v>
      </c>
      <c r="AA258" s="38" t="s">
        <v>26</v>
      </c>
      <c r="AB258" s="23"/>
      <c r="AC258" s="11"/>
      <c r="AD258" s="22">
        <v>-8</v>
      </c>
      <c r="AE258" s="22">
        <v>-8.0030000000000001</v>
      </c>
      <c r="AF258" s="22">
        <v>-8.0020000000000007</v>
      </c>
      <c r="AG258" s="27">
        <f t="shared" si="124"/>
        <v>3.7500000000001421E-4</v>
      </c>
      <c r="AH258" s="27">
        <f t="shared" si="125"/>
        <v>2.5000000000008349E-4</v>
      </c>
      <c r="AI258" s="38" t="s">
        <v>26</v>
      </c>
      <c r="AJ258" s="23"/>
      <c r="AK258" s="11"/>
      <c r="AL258" s="22">
        <v>-8</v>
      </c>
      <c r="AM258" s="22">
        <v>-8.0220000000000002</v>
      </c>
      <c r="AN258" s="22">
        <v>-8.0190000000000001</v>
      </c>
      <c r="AO258" s="27">
        <f t="shared" si="126"/>
        <v>2.7500000000000302E-3</v>
      </c>
      <c r="AP258" s="27">
        <f t="shared" si="127"/>
        <v>2.375000000000016E-3</v>
      </c>
      <c r="AQ258" s="47" t="s">
        <v>142</v>
      </c>
      <c r="AR258" s="23"/>
      <c r="AS258" s="11"/>
      <c r="AT258" s="12"/>
    </row>
    <row r="259" spans="2:46" customFormat="1" ht="28.8" x14ac:dyDescent="0.3">
      <c r="B259" s="10" t="s">
        <v>582</v>
      </c>
      <c r="C259" s="61"/>
      <c r="D259" s="8" t="s">
        <v>320</v>
      </c>
      <c r="E259" s="8" t="s">
        <v>320</v>
      </c>
      <c r="F259" s="8" t="s">
        <v>546</v>
      </c>
      <c r="G259" s="8" t="s">
        <v>323</v>
      </c>
      <c r="H259" s="38" t="s">
        <v>26</v>
      </c>
      <c r="I259" s="2"/>
      <c r="J259" s="4">
        <v>16</v>
      </c>
      <c r="K259" s="4" t="s">
        <v>169</v>
      </c>
      <c r="L259" s="5">
        <v>1.15E-3</v>
      </c>
      <c r="M259" s="2"/>
      <c r="N259" s="22">
        <v>16</v>
      </c>
      <c r="O259" s="22">
        <v>16.001999999999999</v>
      </c>
      <c r="P259" s="22">
        <v>16.003</v>
      </c>
      <c r="Q259" s="27">
        <f t="shared" si="120"/>
        <v>1.2499999999993072E-4</v>
      </c>
      <c r="R259" s="27">
        <f t="shared" si="121"/>
        <v>1.8750000000000711E-4</v>
      </c>
      <c r="S259" s="38" t="s">
        <v>26</v>
      </c>
      <c r="T259" s="23"/>
      <c r="U259" s="11"/>
      <c r="V259" s="22">
        <v>16</v>
      </c>
      <c r="W259" s="22">
        <v>16.001999999999999</v>
      </c>
      <c r="X259" s="22">
        <v>16.003</v>
      </c>
      <c r="Y259" s="27">
        <f t="shared" si="122"/>
        <v>1.2499999999993072E-4</v>
      </c>
      <c r="Z259" s="27">
        <f t="shared" si="123"/>
        <v>1.8750000000000711E-4</v>
      </c>
      <c r="AA259" s="38" t="s">
        <v>26</v>
      </c>
      <c r="AB259" s="23"/>
      <c r="AC259" s="11"/>
      <c r="AD259" s="22">
        <v>16</v>
      </c>
      <c r="AE259" s="22">
        <v>16.001999999999999</v>
      </c>
      <c r="AF259" s="22">
        <v>16.003</v>
      </c>
      <c r="AG259" s="27">
        <f t="shared" si="124"/>
        <v>1.2499999999993072E-4</v>
      </c>
      <c r="AH259" s="27">
        <f t="shared" si="125"/>
        <v>1.8750000000000711E-4</v>
      </c>
      <c r="AI259" s="38" t="s">
        <v>26</v>
      </c>
      <c r="AJ259" s="23"/>
      <c r="AK259" s="11"/>
      <c r="AL259" s="22">
        <v>16</v>
      </c>
      <c r="AM259" s="22">
        <v>15.989000000000001</v>
      </c>
      <c r="AN259" s="22">
        <v>15.991</v>
      </c>
      <c r="AO259" s="27">
        <f t="shared" si="126"/>
        <v>-6.8749999999995204E-4</v>
      </c>
      <c r="AP259" s="27">
        <f t="shared" si="127"/>
        <v>-5.6250000000002132E-4</v>
      </c>
      <c r="AQ259" s="38" t="s">
        <v>26</v>
      </c>
      <c r="AR259" s="22">
        <f>MIN(AM259:AN266)</f>
        <v>15.989000000000001</v>
      </c>
      <c r="AS259" s="11"/>
      <c r="AT259" s="12"/>
    </row>
    <row r="260" spans="2:46" customFormat="1" ht="28.8" x14ac:dyDescent="0.3">
      <c r="B260" s="10" t="s">
        <v>583</v>
      </c>
      <c r="C260" s="61"/>
      <c r="D260" s="8" t="s">
        <v>320</v>
      </c>
      <c r="E260" s="8" t="s">
        <v>320</v>
      </c>
      <c r="F260" s="8" t="s">
        <v>546</v>
      </c>
      <c r="G260" s="8" t="s">
        <v>325</v>
      </c>
      <c r="H260" s="38" t="s">
        <v>26</v>
      </c>
      <c r="I260" s="2"/>
      <c r="J260" s="4">
        <v>16</v>
      </c>
      <c r="K260" s="4" t="s">
        <v>169</v>
      </c>
      <c r="L260" s="5">
        <v>1.15E-3</v>
      </c>
      <c r="M260" s="2"/>
      <c r="N260" s="22">
        <v>16</v>
      </c>
      <c r="O260" s="22">
        <v>16.001999999999999</v>
      </c>
      <c r="P260" s="22">
        <v>16.003</v>
      </c>
      <c r="Q260" s="27">
        <f t="shared" si="120"/>
        <v>1.2499999999993072E-4</v>
      </c>
      <c r="R260" s="27">
        <f t="shared" si="121"/>
        <v>1.8750000000000711E-4</v>
      </c>
      <c r="S260" s="38" t="s">
        <v>26</v>
      </c>
      <c r="T260" s="23"/>
      <c r="U260" s="11"/>
      <c r="V260" s="22">
        <v>16</v>
      </c>
      <c r="W260" s="22">
        <v>16.001999999999999</v>
      </c>
      <c r="X260" s="22">
        <v>16.003</v>
      </c>
      <c r="Y260" s="27">
        <f t="shared" si="122"/>
        <v>1.2499999999993072E-4</v>
      </c>
      <c r="Z260" s="27">
        <f t="shared" si="123"/>
        <v>1.8750000000000711E-4</v>
      </c>
      <c r="AA260" s="38" t="s">
        <v>26</v>
      </c>
      <c r="AB260" s="23"/>
      <c r="AC260" s="11"/>
      <c r="AD260" s="22">
        <v>16</v>
      </c>
      <c r="AE260" s="22">
        <v>16.001999999999999</v>
      </c>
      <c r="AF260" s="22">
        <v>16.003</v>
      </c>
      <c r="AG260" s="27">
        <f t="shared" si="124"/>
        <v>1.2499999999993072E-4</v>
      </c>
      <c r="AH260" s="27">
        <f t="shared" si="125"/>
        <v>1.8750000000000711E-4</v>
      </c>
      <c r="AI260" s="38" t="s">
        <v>26</v>
      </c>
      <c r="AJ260" s="23"/>
      <c r="AK260" s="11"/>
      <c r="AL260" s="22">
        <v>16</v>
      </c>
      <c r="AM260" s="22">
        <v>15.991</v>
      </c>
      <c r="AN260" s="22">
        <v>15.992000000000001</v>
      </c>
      <c r="AO260" s="27">
        <f t="shared" si="126"/>
        <v>-5.6250000000002132E-4</v>
      </c>
      <c r="AP260" s="27">
        <f t="shared" si="127"/>
        <v>-4.9999999999994493E-4</v>
      </c>
      <c r="AQ260" s="38" t="s">
        <v>26</v>
      </c>
      <c r="AR260" s="22">
        <f>MAX(AM259:AN266)</f>
        <v>16.015999999999998</v>
      </c>
      <c r="AS260" s="11"/>
      <c r="AT260" s="12"/>
    </row>
    <row r="261" spans="2:46" customFormat="1" ht="28.8" x14ac:dyDescent="0.3">
      <c r="B261" s="10" t="s">
        <v>584</v>
      </c>
      <c r="C261" s="61"/>
      <c r="D261" s="8" t="s">
        <v>320</v>
      </c>
      <c r="E261" s="8" t="s">
        <v>320</v>
      </c>
      <c r="F261" s="8" t="s">
        <v>546</v>
      </c>
      <c r="G261" s="8" t="s">
        <v>327</v>
      </c>
      <c r="H261" s="38" t="s">
        <v>26</v>
      </c>
      <c r="I261" s="2"/>
      <c r="J261" s="4">
        <v>16</v>
      </c>
      <c r="K261" s="4" t="s">
        <v>169</v>
      </c>
      <c r="L261" s="5">
        <v>1.15E-3</v>
      </c>
      <c r="M261" s="2"/>
      <c r="N261" s="22">
        <v>16</v>
      </c>
      <c r="O261" s="22">
        <v>16.001999999999999</v>
      </c>
      <c r="P261" s="22">
        <v>16.004000000000001</v>
      </c>
      <c r="Q261" s="27">
        <f t="shared" si="120"/>
        <v>1.2499999999993072E-4</v>
      </c>
      <c r="R261" s="27">
        <f t="shared" si="121"/>
        <v>2.5000000000008349E-4</v>
      </c>
      <c r="S261" s="38" t="s">
        <v>26</v>
      </c>
      <c r="T261" s="23"/>
      <c r="U261" s="11"/>
      <c r="V261" s="22">
        <v>16</v>
      </c>
      <c r="W261" s="22">
        <v>16.001999999999999</v>
      </c>
      <c r="X261" s="22">
        <v>16.003</v>
      </c>
      <c r="Y261" s="27">
        <f t="shared" si="122"/>
        <v>1.2499999999993072E-4</v>
      </c>
      <c r="Z261" s="27">
        <f t="shared" si="123"/>
        <v>1.8750000000000711E-4</v>
      </c>
      <c r="AA261" s="38" t="s">
        <v>26</v>
      </c>
      <c r="AB261" s="23"/>
      <c r="AC261" s="11"/>
      <c r="AD261" s="22">
        <v>16</v>
      </c>
      <c r="AE261" s="22">
        <v>16.001999999999999</v>
      </c>
      <c r="AF261" s="22">
        <v>16.003</v>
      </c>
      <c r="AG261" s="27">
        <f t="shared" si="124"/>
        <v>1.2499999999993072E-4</v>
      </c>
      <c r="AH261" s="27">
        <f t="shared" si="125"/>
        <v>1.8750000000000711E-4</v>
      </c>
      <c r="AI261" s="38" t="s">
        <v>26</v>
      </c>
      <c r="AJ261" s="23"/>
      <c r="AK261" s="11"/>
      <c r="AL261" s="22">
        <v>16</v>
      </c>
      <c r="AM261" s="22">
        <v>16.004000000000001</v>
      </c>
      <c r="AN261" s="22">
        <v>16.004999999999999</v>
      </c>
      <c r="AO261" s="27">
        <f t="shared" si="126"/>
        <v>2.5000000000008349E-4</v>
      </c>
      <c r="AP261" s="27">
        <f t="shared" si="127"/>
        <v>3.1249999999993783E-4</v>
      </c>
      <c r="AQ261" s="38" t="s">
        <v>26</v>
      </c>
      <c r="AR261" s="23"/>
      <c r="AS261" s="11"/>
      <c r="AT261" s="12"/>
    </row>
    <row r="262" spans="2:46" customFormat="1" ht="28.8" x14ac:dyDescent="0.3">
      <c r="B262" s="10" t="s">
        <v>585</v>
      </c>
      <c r="C262" s="61"/>
      <c r="D262" s="8" t="s">
        <v>320</v>
      </c>
      <c r="E262" s="8" t="s">
        <v>320</v>
      </c>
      <c r="F262" s="8" t="s">
        <v>546</v>
      </c>
      <c r="G262" s="8" t="s">
        <v>329</v>
      </c>
      <c r="H262" s="38" t="s">
        <v>26</v>
      </c>
      <c r="I262" s="2"/>
      <c r="J262" s="4">
        <v>16</v>
      </c>
      <c r="K262" s="4" t="s">
        <v>169</v>
      </c>
      <c r="L262" s="5">
        <v>1.15E-3</v>
      </c>
      <c r="M262" s="2"/>
      <c r="N262" s="22">
        <v>16</v>
      </c>
      <c r="O262" s="22">
        <v>16.001000000000001</v>
      </c>
      <c r="P262" s="22">
        <v>16.003</v>
      </c>
      <c r="Q262" s="27">
        <f t="shared" si="120"/>
        <v>6.2500000000076383E-5</v>
      </c>
      <c r="R262" s="27">
        <f t="shared" si="121"/>
        <v>1.8750000000000711E-4</v>
      </c>
      <c r="S262" s="38" t="s">
        <v>26</v>
      </c>
      <c r="T262" s="23"/>
      <c r="U262" s="11"/>
      <c r="V262" s="22">
        <v>16</v>
      </c>
      <c r="W262" s="22">
        <v>16.003</v>
      </c>
      <c r="X262" s="22">
        <v>16.004000000000001</v>
      </c>
      <c r="Y262" s="27">
        <f t="shared" si="122"/>
        <v>1.8750000000000711E-4</v>
      </c>
      <c r="Z262" s="27">
        <f t="shared" si="123"/>
        <v>2.5000000000008349E-4</v>
      </c>
      <c r="AA262" s="38" t="s">
        <v>26</v>
      </c>
      <c r="AB262" s="23"/>
      <c r="AC262" s="11"/>
      <c r="AD262" s="22">
        <v>16</v>
      </c>
      <c r="AE262" s="22">
        <v>16.003</v>
      </c>
      <c r="AF262" s="22">
        <v>16.004000000000001</v>
      </c>
      <c r="AG262" s="27">
        <f t="shared" si="124"/>
        <v>1.8750000000000711E-4</v>
      </c>
      <c r="AH262" s="27">
        <f t="shared" si="125"/>
        <v>2.5000000000008349E-4</v>
      </c>
      <c r="AI262" s="38" t="s">
        <v>26</v>
      </c>
      <c r="AJ262" s="23"/>
      <c r="AK262" s="11"/>
      <c r="AL262" s="22">
        <v>16</v>
      </c>
      <c r="AM262" s="22">
        <v>16.013000000000002</v>
      </c>
      <c r="AN262" s="22">
        <v>16.015000000000001</v>
      </c>
      <c r="AO262" s="27">
        <f t="shared" si="126"/>
        <v>8.1250000000010481E-4</v>
      </c>
      <c r="AP262" s="27">
        <f t="shared" si="127"/>
        <v>9.3750000000003553E-4</v>
      </c>
      <c r="AQ262" s="38" t="s">
        <v>26</v>
      </c>
      <c r="AR262" s="23"/>
      <c r="AS262" s="11"/>
      <c r="AT262" s="12"/>
    </row>
    <row r="263" spans="2:46" customFormat="1" ht="28.8" x14ac:dyDescent="0.3">
      <c r="B263" s="10" t="s">
        <v>586</v>
      </c>
      <c r="C263" s="61"/>
      <c r="D263" s="8" t="s">
        <v>320</v>
      </c>
      <c r="E263" s="8" t="s">
        <v>320</v>
      </c>
      <c r="F263" s="8" t="s">
        <v>546</v>
      </c>
      <c r="G263" s="8" t="s">
        <v>331</v>
      </c>
      <c r="H263" s="38" t="s">
        <v>26</v>
      </c>
      <c r="I263" s="2"/>
      <c r="J263" s="4">
        <v>16</v>
      </c>
      <c r="K263" s="4" t="s">
        <v>169</v>
      </c>
      <c r="L263" s="5">
        <v>1.15E-3</v>
      </c>
      <c r="M263" s="2"/>
      <c r="N263" s="22">
        <v>16</v>
      </c>
      <c r="O263" s="22">
        <v>16.001999999999999</v>
      </c>
      <c r="P263" s="22">
        <v>16.004000000000001</v>
      </c>
      <c r="Q263" s="27">
        <f t="shared" si="120"/>
        <v>1.2499999999993072E-4</v>
      </c>
      <c r="R263" s="27">
        <f t="shared" si="121"/>
        <v>2.5000000000008349E-4</v>
      </c>
      <c r="S263" s="38" t="s">
        <v>26</v>
      </c>
      <c r="T263" s="23"/>
      <c r="U263" s="11"/>
      <c r="V263" s="22">
        <v>16</v>
      </c>
      <c r="W263" s="22">
        <v>16</v>
      </c>
      <c r="X263" s="22">
        <v>16.001999999999999</v>
      </c>
      <c r="Y263" s="27">
        <f t="shared" si="122"/>
        <v>0</v>
      </c>
      <c r="Z263" s="27">
        <f t="shared" si="123"/>
        <v>1.2499999999993072E-4</v>
      </c>
      <c r="AA263" s="38" t="s">
        <v>26</v>
      </c>
      <c r="AB263" s="23"/>
      <c r="AC263" s="11"/>
      <c r="AD263" s="22">
        <v>16</v>
      </c>
      <c r="AE263" s="22">
        <v>16</v>
      </c>
      <c r="AF263" s="22">
        <v>16.001999999999999</v>
      </c>
      <c r="AG263" s="27">
        <f t="shared" si="124"/>
        <v>0</v>
      </c>
      <c r="AH263" s="27">
        <f t="shared" si="125"/>
        <v>1.2499999999993072E-4</v>
      </c>
      <c r="AI263" s="38" t="s">
        <v>26</v>
      </c>
      <c r="AJ263" s="23"/>
      <c r="AK263" s="11"/>
      <c r="AL263" s="22">
        <v>16</v>
      </c>
      <c r="AM263" s="22">
        <v>15.991</v>
      </c>
      <c r="AN263" s="22">
        <v>15.993</v>
      </c>
      <c r="AO263" s="27">
        <f t="shared" si="126"/>
        <v>-5.6250000000002132E-4</v>
      </c>
      <c r="AP263" s="27">
        <f t="shared" si="127"/>
        <v>-4.3749999999997957E-4</v>
      </c>
      <c r="AQ263" s="38" t="s">
        <v>26</v>
      </c>
      <c r="AR263" s="23"/>
      <c r="AS263" s="11"/>
      <c r="AT263" s="12"/>
    </row>
    <row r="264" spans="2:46" customFormat="1" ht="28.8" x14ac:dyDescent="0.3">
      <c r="B264" s="10" t="s">
        <v>587</v>
      </c>
      <c r="C264" s="61"/>
      <c r="D264" s="8" t="s">
        <v>320</v>
      </c>
      <c r="E264" s="8" t="s">
        <v>320</v>
      </c>
      <c r="F264" s="8" t="s">
        <v>546</v>
      </c>
      <c r="G264" s="8" t="s">
        <v>333</v>
      </c>
      <c r="H264" s="38" t="s">
        <v>26</v>
      </c>
      <c r="I264" s="2"/>
      <c r="J264" s="4">
        <v>16</v>
      </c>
      <c r="K264" s="4" t="s">
        <v>169</v>
      </c>
      <c r="L264" s="5">
        <v>1.15E-3</v>
      </c>
      <c r="M264" s="2"/>
      <c r="N264" s="22">
        <v>16</v>
      </c>
      <c r="O264" s="22">
        <v>16.001999999999999</v>
      </c>
      <c r="P264" s="22">
        <v>16.003</v>
      </c>
      <c r="Q264" s="27">
        <f t="shared" si="120"/>
        <v>1.2499999999993072E-4</v>
      </c>
      <c r="R264" s="27">
        <f t="shared" si="121"/>
        <v>1.8750000000000711E-4</v>
      </c>
      <c r="S264" s="38" t="s">
        <v>26</v>
      </c>
      <c r="T264" s="23"/>
      <c r="U264" s="11"/>
      <c r="V264" s="22">
        <v>16</v>
      </c>
      <c r="W264" s="22">
        <v>16</v>
      </c>
      <c r="X264" s="22">
        <v>15.999000000000001</v>
      </c>
      <c r="Y264" s="27">
        <f t="shared" si="122"/>
        <v>0</v>
      </c>
      <c r="Z264" s="27">
        <f t="shared" si="123"/>
        <v>-6.2499999999965361E-5</v>
      </c>
      <c r="AA264" s="38" t="s">
        <v>26</v>
      </c>
      <c r="AB264" s="23"/>
      <c r="AC264" s="11"/>
      <c r="AD264" s="22">
        <v>16</v>
      </c>
      <c r="AE264" s="22">
        <v>16</v>
      </c>
      <c r="AF264" s="22">
        <v>15.999000000000001</v>
      </c>
      <c r="AG264" s="27">
        <f t="shared" si="124"/>
        <v>0</v>
      </c>
      <c r="AH264" s="27">
        <f t="shared" si="125"/>
        <v>-6.2499999999965361E-5</v>
      </c>
      <c r="AI264" s="38" t="s">
        <v>26</v>
      </c>
      <c r="AJ264" s="23"/>
      <c r="AK264" s="11"/>
      <c r="AL264" s="22">
        <v>16</v>
      </c>
      <c r="AM264" s="22">
        <v>16.013000000000002</v>
      </c>
      <c r="AN264" s="22">
        <v>16.015999999999998</v>
      </c>
      <c r="AO264" s="27">
        <f t="shared" si="126"/>
        <v>8.1250000000010481E-4</v>
      </c>
      <c r="AP264" s="27">
        <f t="shared" si="127"/>
        <v>9.9999999999988987E-4</v>
      </c>
      <c r="AQ264" s="38" t="s">
        <v>26</v>
      </c>
      <c r="AR264" s="23"/>
      <c r="AS264" s="11"/>
      <c r="AT264" s="12"/>
    </row>
    <row r="265" spans="2:46" customFormat="1" ht="28.8" x14ac:dyDescent="0.3">
      <c r="B265" s="10" t="s">
        <v>588</v>
      </c>
      <c r="C265" s="61"/>
      <c r="D265" s="8" t="s">
        <v>320</v>
      </c>
      <c r="E265" s="8" t="s">
        <v>320</v>
      </c>
      <c r="F265" s="8" t="s">
        <v>546</v>
      </c>
      <c r="G265" s="8" t="s">
        <v>335</v>
      </c>
      <c r="H265" s="38" t="s">
        <v>26</v>
      </c>
      <c r="I265" s="2"/>
      <c r="J265" s="4">
        <v>16</v>
      </c>
      <c r="K265" s="4" t="s">
        <v>169</v>
      </c>
      <c r="L265" s="5">
        <v>1.15E-3</v>
      </c>
      <c r="M265" s="2"/>
      <c r="N265" s="22">
        <v>16</v>
      </c>
      <c r="O265" s="22">
        <v>16.001999999999999</v>
      </c>
      <c r="P265" s="22">
        <v>16.003</v>
      </c>
      <c r="Q265" s="27">
        <f t="shared" si="120"/>
        <v>1.2499999999993072E-4</v>
      </c>
      <c r="R265" s="27">
        <f t="shared" si="121"/>
        <v>1.8750000000000711E-4</v>
      </c>
      <c r="S265" s="38" t="s">
        <v>26</v>
      </c>
      <c r="T265" s="23"/>
      <c r="U265" s="11"/>
      <c r="V265" s="22">
        <v>16</v>
      </c>
      <c r="W265" s="22">
        <v>16.001999999999999</v>
      </c>
      <c r="X265" s="22">
        <v>16.001999999999999</v>
      </c>
      <c r="Y265" s="27">
        <f t="shared" si="122"/>
        <v>1.2499999999993072E-4</v>
      </c>
      <c r="Z265" s="27">
        <f t="shared" si="123"/>
        <v>1.2499999999993072E-4</v>
      </c>
      <c r="AA265" s="38" t="s">
        <v>26</v>
      </c>
      <c r="AB265" s="23"/>
      <c r="AC265" s="11"/>
      <c r="AD265" s="22">
        <v>16</v>
      </c>
      <c r="AE265" s="22">
        <v>16.001999999999999</v>
      </c>
      <c r="AF265" s="22">
        <v>16.001999999999999</v>
      </c>
      <c r="AG265" s="27">
        <f t="shared" si="124"/>
        <v>1.2499999999993072E-4</v>
      </c>
      <c r="AH265" s="27">
        <f t="shared" si="125"/>
        <v>1.2499999999993072E-4</v>
      </c>
      <c r="AI265" s="38" t="s">
        <v>26</v>
      </c>
      <c r="AJ265" s="23"/>
      <c r="AK265" s="11"/>
      <c r="AL265" s="22">
        <v>16</v>
      </c>
      <c r="AM265" s="22">
        <v>15.99</v>
      </c>
      <c r="AN265" s="22">
        <v>15.993</v>
      </c>
      <c r="AO265" s="27">
        <f t="shared" si="126"/>
        <v>-6.2499999999998668E-4</v>
      </c>
      <c r="AP265" s="27">
        <f t="shared" si="127"/>
        <v>-4.3749999999997957E-4</v>
      </c>
      <c r="AQ265" s="38" t="s">
        <v>26</v>
      </c>
      <c r="AR265" s="23"/>
      <c r="AS265" s="11"/>
      <c r="AT265" s="12"/>
    </row>
    <row r="266" spans="2:46" customFormat="1" ht="28.8" x14ac:dyDescent="0.3">
      <c r="B266" s="10" t="s">
        <v>589</v>
      </c>
      <c r="C266" s="61"/>
      <c r="D266" s="8" t="s">
        <v>320</v>
      </c>
      <c r="E266" s="8" t="s">
        <v>320</v>
      </c>
      <c r="F266" s="8" t="s">
        <v>546</v>
      </c>
      <c r="G266" s="8" t="s">
        <v>337</v>
      </c>
      <c r="H266" s="38" t="s">
        <v>26</v>
      </c>
      <c r="I266" s="2"/>
      <c r="J266" s="4">
        <v>16</v>
      </c>
      <c r="K266" s="4" t="s">
        <v>169</v>
      </c>
      <c r="L266" s="5">
        <v>1.15E-3</v>
      </c>
      <c r="M266" s="2"/>
      <c r="N266" s="22">
        <v>16</v>
      </c>
      <c r="O266" s="22">
        <v>16.001999999999999</v>
      </c>
      <c r="P266" s="22">
        <v>16.003</v>
      </c>
      <c r="Q266" s="27">
        <f t="shared" si="120"/>
        <v>1.2499999999993072E-4</v>
      </c>
      <c r="R266" s="27">
        <f t="shared" si="121"/>
        <v>1.8750000000000711E-4</v>
      </c>
      <c r="S266" s="38" t="s">
        <v>26</v>
      </c>
      <c r="T266" s="23"/>
      <c r="U266" s="11"/>
      <c r="V266" s="22">
        <v>16</v>
      </c>
      <c r="W266" s="22">
        <v>16.001999999999999</v>
      </c>
      <c r="X266" s="22">
        <v>16.001000000000001</v>
      </c>
      <c r="Y266" s="27">
        <f t="shared" si="122"/>
        <v>1.2499999999993072E-4</v>
      </c>
      <c r="Z266" s="27">
        <f t="shared" si="123"/>
        <v>6.2500000000076383E-5</v>
      </c>
      <c r="AA266" s="38" t="s">
        <v>26</v>
      </c>
      <c r="AB266" s="23"/>
      <c r="AC266" s="11"/>
      <c r="AD266" s="22">
        <v>16</v>
      </c>
      <c r="AE266" s="22">
        <v>16.001999999999999</v>
      </c>
      <c r="AF266" s="22">
        <v>16.001000000000001</v>
      </c>
      <c r="AG266" s="27">
        <f t="shared" si="124"/>
        <v>1.2499999999993072E-4</v>
      </c>
      <c r="AH266" s="27">
        <f t="shared" si="125"/>
        <v>6.2500000000076383E-5</v>
      </c>
      <c r="AI266" s="38" t="s">
        <v>26</v>
      </c>
      <c r="AJ266" s="23"/>
      <c r="AK266" s="11"/>
      <c r="AL266" s="22">
        <v>16</v>
      </c>
      <c r="AM266" s="22">
        <v>16</v>
      </c>
      <c r="AN266" s="22">
        <v>16.003</v>
      </c>
      <c r="AO266" s="27">
        <f t="shared" si="126"/>
        <v>0</v>
      </c>
      <c r="AP266" s="27">
        <f t="shared" si="127"/>
        <v>1.8750000000000711E-4</v>
      </c>
      <c r="AQ266" s="38" t="s">
        <v>26</v>
      </c>
      <c r="AR266" s="23"/>
      <c r="AS266" s="11"/>
      <c r="AT266" s="12"/>
    </row>
    <row r="267" spans="2:46" customFormat="1" ht="28.8" x14ac:dyDescent="0.3">
      <c r="B267" s="10" t="s">
        <v>590</v>
      </c>
      <c r="C267" s="61"/>
      <c r="D267" s="8" t="s">
        <v>320</v>
      </c>
      <c r="E267" s="8" t="s">
        <v>320</v>
      </c>
      <c r="F267" s="8" t="s">
        <v>546</v>
      </c>
      <c r="G267" s="8" t="s">
        <v>324</v>
      </c>
      <c r="H267" s="45" t="s">
        <v>573</v>
      </c>
      <c r="I267" s="2"/>
      <c r="J267" s="4">
        <v>-16</v>
      </c>
      <c r="K267" s="4" t="s">
        <v>169</v>
      </c>
      <c r="L267" s="5">
        <v>1.15E-3</v>
      </c>
      <c r="M267" s="2"/>
      <c r="N267" s="22">
        <v>-16</v>
      </c>
      <c r="O267" s="22">
        <v>-16.036999999999999</v>
      </c>
      <c r="P267" s="22">
        <v>-16.036000000000001</v>
      </c>
      <c r="Q267" s="27">
        <f t="shared" si="120"/>
        <v>2.3124999999999396E-3</v>
      </c>
      <c r="R267" s="27">
        <f t="shared" si="121"/>
        <v>2.2500000000000853E-3</v>
      </c>
      <c r="S267" s="45" t="s">
        <v>142</v>
      </c>
      <c r="T267" s="23"/>
      <c r="U267" s="11"/>
      <c r="V267" s="22">
        <v>-16</v>
      </c>
      <c r="W267" s="22">
        <v>-16.010999999999999</v>
      </c>
      <c r="X267" s="22">
        <v>-16.009</v>
      </c>
      <c r="Y267" s="27">
        <f t="shared" si="122"/>
        <v>6.8749999999995204E-4</v>
      </c>
      <c r="Z267" s="27">
        <f t="shared" si="123"/>
        <v>5.6250000000002132E-4</v>
      </c>
      <c r="AA267" s="38" t="s">
        <v>26</v>
      </c>
      <c r="AB267" s="23"/>
      <c r="AC267" s="11"/>
      <c r="AD267" s="22">
        <v>-16</v>
      </c>
      <c r="AE267" s="22">
        <v>-16.010999999999999</v>
      </c>
      <c r="AF267" s="22">
        <v>-16.009</v>
      </c>
      <c r="AG267" s="27">
        <f t="shared" si="124"/>
        <v>6.8749999999995204E-4</v>
      </c>
      <c r="AH267" s="27">
        <f t="shared" si="125"/>
        <v>5.6250000000002132E-4</v>
      </c>
      <c r="AI267" s="38" t="s">
        <v>26</v>
      </c>
      <c r="AJ267" s="23"/>
      <c r="AK267" s="11"/>
      <c r="AL267" s="22">
        <v>-16</v>
      </c>
      <c r="AM267" s="22">
        <v>-16.045000000000002</v>
      </c>
      <c r="AN267" s="22">
        <v>-16.03</v>
      </c>
      <c r="AO267" s="27">
        <f t="shared" si="126"/>
        <v>2.8125000000001066E-3</v>
      </c>
      <c r="AP267" s="27">
        <f t="shared" si="127"/>
        <v>1.8750000000000711E-3</v>
      </c>
      <c r="AQ267" s="47" t="s">
        <v>142</v>
      </c>
      <c r="AR267" s="23"/>
      <c r="AS267" s="11"/>
      <c r="AT267" s="12"/>
    </row>
    <row r="268" spans="2:46" customFormat="1" ht="28.8" x14ac:dyDescent="0.3">
      <c r="B268" s="10" t="s">
        <v>591</v>
      </c>
      <c r="C268" s="61"/>
      <c r="D268" s="8" t="s">
        <v>320</v>
      </c>
      <c r="E268" s="8" t="s">
        <v>320</v>
      </c>
      <c r="F268" s="8" t="s">
        <v>546</v>
      </c>
      <c r="G268" s="8" t="s">
        <v>326</v>
      </c>
      <c r="H268" s="45" t="s">
        <v>573</v>
      </c>
      <c r="I268" s="2"/>
      <c r="J268" s="4">
        <v>-16</v>
      </c>
      <c r="K268" s="4" t="s">
        <v>169</v>
      </c>
      <c r="L268" s="5">
        <v>1.15E-3</v>
      </c>
      <c r="M268" s="2"/>
      <c r="N268" s="22">
        <v>-16</v>
      </c>
      <c r="O268" s="22">
        <v>-16.036999999999999</v>
      </c>
      <c r="P268" s="22">
        <v>-16.036999999999999</v>
      </c>
      <c r="Q268" s="27">
        <f t="shared" si="120"/>
        <v>2.3124999999999396E-3</v>
      </c>
      <c r="R268" s="27">
        <f t="shared" si="121"/>
        <v>2.3124999999999396E-3</v>
      </c>
      <c r="S268" s="45" t="s">
        <v>142</v>
      </c>
      <c r="T268" s="23"/>
      <c r="U268" s="11"/>
      <c r="V268" s="22">
        <v>-16</v>
      </c>
      <c r="W268" s="22">
        <v>-16.010999999999999</v>
      </c>
      <c r="X268" s="22">
        <v>-16.009</v>
      </c>
      <c r="Y268" s="27">
        <f t="shared" si="122"/>
        <v>6.8749999999995204E-4</v>
      </c>
      <c r="Z268" s="27">
        <f t="shared" si="123"/>
        <v>5.6250000000002132E-4</v>
      </c>
      <c r="AA268" s="38" t="s">
        <v>26</v>
      </c>
      <c r="AB268" s="23"/>
      <c r="AC268" s="11"/>
      <c r="AD268" s="22">
        <v>-16</v>
      </c>
      <c r="AE268" s="22">
        <v>-16.010999999999999</v>
      </c>
      <c r="AF268" s="22">
        <v>-16.009</v>
      </c>
      <c r="AG268" s="27">
        <f t="shared" si="124"/>
        <v>6.8749999999995204E-4</v>
      </c>
      <c r="AH268" s="27">
        <f t="shared" si="125"/>
        <v>5.6250000000002132E-4</v>
      </c>
      <c r="AI268" s="38" t="s">
        <v>26</v>
      </c>
      <c r="AJ268" s="23"/>
      <c r="AK268" s="11"/>
      <c r="AL268" s="22">
        <v>-16</v>
      </c>
      <c r="AM268" s="22">
        <v>-16.032</v>
      </c>
      <c r="AN268" s="22">
        <v>-16.030999999999999</v>
      </c>
      <c r="AO268" s="27">
        <f t="shared" si="126"/>
        <v>2.0000000000000018E-3</v>
      </c>
      <c r="AP268" s="27">
        <f t="shared" si="127"/>
        <v>1.9374999999999254E-3</v>
      </c>
      <c r="AQ268" s="47" t="s">
        <v>142</v>
      </c>
      <c r="AR268" s="23"/>
      <c r="AS268" s="11"/>
      <c r="AT268" s="12"/>
    </row>
    <row r="269" spans="2:46" customFormat="1" ht="28.8" x14ac:dyDescent="0.3">
      <c r="B269" s="10" t="s">
        <v>592</v>
      </c>
      <c r="C269" s="61"/>
      <c r="D269" s="8" t="s">
        <v>320</v>
      </c>
      <c r="E269" s="8" t="s">
        <v>320</v>
      </c>
      <c r="F269" s="8" t="s">
        <v>546</v>
      </c>
      <c r="G269" s="8" t="s">
        <v>328</v>
      </c>
      <c r="H269" s="45" t="s">
        <v>573</v>
      </c>
      <c r="I269" s="2"/>
      <c r="J269" s="4">
        <v>-16</v>
      </c>
      <c r="K269" s="4" t="s">
        <v>169</v>
      </c>
      <c r="L269" s="5">
        <v>1.15E-3</v>
      </c>
      <c r="M269" s="2"/>
      <c r="N269" s="22">
        <v>-16</v>
      </c>
      <c r="O269" s="22">
        <v>-16.036000000000001</v>
      </c>
      <c r="P269" s="22">
        <v>-16.036000000000001</v>
      </c>
      <c r="Q269" s="27">
        <f t="shared" si="120"/>
        <v>2.2500000000000853E-3</v>
      </c>
      <c r="R269" s="27">
        <f t="shared" si="121"/>
        <v>2.2500000000000853E-3</v>
      </c>
      <c r="S269" s="45" t="s">
        <v>142</v>
      </c>
      <c r="T269" s="23"/>
      <c r="U269" s="11"/>
      <c r="V269" s="22">
        <v>-16</v>
      </c>
      <c r="W269" s="22">
        <v>-16.010000000000002</v>
      </c>
      <c r="X269" s="22">
        <v>-16.009</v>
      </c>
      <c r="Y269" s="27">
        <f t="shared" si="122"/>
        <v>6.250000000000977E-4</v>
      </c>
      <c r="Z269" s="27">
        <f t="shared" si="123"/>
        <v>5.6250000000002132E-4</v>
      </c>
      <c r="AA269" s="38" t="s">
        <v>26</v>
      </c>
      <c r="AB269" s="23"/>
      <c r="AC269" s="11"/>
      <c r="AD269" s="22">
        <v>-16</v>
      </c>
      <c r="AE269" s="22">
        <v>-16.010000000000002</v>
      </c>
      <c r="AF269" s="22">
        <v>-16.009</v>
      </c>
      <c r="AG269" s="27">
        <f t="shared" si="124"/>
        <v>6.250000000000977E-4</v>
      </c>
      <c r="AH269" s="27">
        <f t="shared" si="125"/>
        <v>5.6250000000002132E-4</v>
      </c>
      <c r="AI269" s="38" t="s">
        <v>26</v>
      </c>
      <c r="AJ269" s="23"/>
      <c r="AK269" s="11"/>
      <c r="AL269" s="22">
        <v>-16</v>
      </c>
      <c r="AM269" s="22">
        <v>-16.045999999999999</v>
      </c>
      <c r="AN269" s="22">
        <v>-16.045000000000002</v>
      </c>
      <c r="AO269" s="27">
        <f t="shared" si="126"/>
        <v>2.8749999999999609E-3</v>
      </c>
      <c r="AP269" s="27">
        <f t="shared" si="127"/>
        <v>2.8125000000001066E-3</v>
      </c>
      <c r="AQ269" s="47" t="s">
        <v>142</v>
      </c>
      <c r="AR269" s="23"/>
      <c r="AS269" s="11"/>
      <c r="AT269" s="12"/>
    </row>
    <row r="270" spans="2:46" customFormat="1" ht="28.8" x14ac:dyDescent="0.3">
      <c r="B270" s="10" t="s">
        <v>593</v>
      </c>
      <c r="C270" s="61"/>
      <c r="D270" s="8" t="s">
        <v>320</v>
      </c>
      <c r="E270" s="8" t="s">
        <v>320</v>
      </c>
      <c r="F270" s="8" t="s">
        <v>546</v>
      </c>
      <c r="G270" s="8" t="s">
        <v>330</v>
      </c>
      <c r="H270" s="45" t="s">
        <v>573</v>
      </c>
      <c r="I270" s="2"/>
      <c r="J270" s="4">
        <v>-16</v>
      </c>
      <c r="K270" s="4" t="s">
        <v>169</v>
      </c>
      <c r="L270" s="5">
        <v>1.15E-3</v>
      </c>
      <c r="M270" s="2"/>
      <c r="N270" s="22">
        <v>-16</v>
      </c>
      <c r="O270" s="22">
        <v>-16.038</v>
      </c>
      <c r="P270" s="22">
        <v>-16.036999999999999</v>
      </c>
      <c r="Q270" s="27">
        <f t="shared" si="120"/>
        <v>2.375000000000016E-3</v>
      </c>
      <c r="R270" s="27">
        <f t="shared" si="121"/>
        <v>2.3124999999999396E-3</v>
      </c>
      <c r="S270" s="45" t="s">
        <v>142</v>
      </c>
      <c r="T270" s="23"/>
      <c r="U270" s="11"/>
      <c r="V270" s="22">
        <v>-16</v>
      </c>
      <c r="W270" s="22">
        <v>-16.010000000000002</v>
      </c>
      <c r="X270" s="22">
        <v>-16.010000000000002</v>
      </c>
      <c r="Y270" s="27">
        <f t="shared" si="122"/>
        <v>6.250000000000977E-4</v>
      </c>
      <c r="Z270" s="27">
        <f t="shared" si="123"/>
        <v>6.250000000000977E-4</v>
      </c>
      <c r="AA270" s="38" t="s">
        <v>26</v>
      </c>
      <c r="AB270" s="23"/>
      <c r="AC270" s="11"/>
      <c r="AD270" s="22">
        <v>-16</v>
      </c>
      <c r="AE270" s="22">
        <v>-16.010000000000002</v>
      </c>
      <c r="AF270" s="22">
        <v>-16.010000000000002</v>
      </c>
      <c r="AG270" s="27">
        <f t="shared" si="124"/>
        <v>6.250000000000977E-4</v>
      </c>
      <c r="AH270" s="27">
        <f t="shared" si="125"/>
        <v>6.250000000000977E-4</v>
      </c>
      <c r="AI270" s="38" t="s">
        <v>26</v>
      </c>
      <c r="AJ270" s="23"/>
      <c r="AK270" s="11"/>
      <c r="AL270" s="22">
        <v>-16</v>
      </c>
      <c r="AM270" s="22">
        <v>-16.055</v>
      </c>
      <c r="AN270" s="22">
        <v>-16.050999999999998</v>
      </c>
      <c r="AO270" s="27">
        <f t="shared" si="126"/>
        <v>3.4374999999999822E-3</v>
      </c>
      <c r="AP270" s="27">
        <f t="shared" si="127"/>
        <v>3.1874999999998987E-3</v>
      </c>
      <c r="AQ270" s="47" t="s">
        <v>142</v>
      </c>
      <c r="AR270" s="23"/>
      <c r="AS270" s="11"/>
      <c r="AT270" s="12"/>
    </row>
    <row r="271" spans="2:46" customFormat="1" ht="28.8" x14ac:dyDescent="0.3">
      <c r="B271" s="10" t="s">
        <v>594</v>
      </c>
      <c r="C271" s="61"/>
      <c r="D271" s="8" t="s">
        <v>320</v>
      </c>
      <c r="E271" s="8" t="s">
        <v>320</v>
      </c>
      <c r="F271" s="8" t="s">
        <v>546</v>
      </c>
      <c r="G271" s="8" t="s">
        <v>332</v>
      </c>
      <c r="H271" s="45" t="s">
        <v>573</v>
      </c>
      <c r="I271" s="2"/>
      <c r="J271" s="4">
        <v>-16</v>
      </c>
      <c r="K271" s="4" t="s">
        <v>169</v>
      </c>
      <c r="L271" s="5">
        <v>1.15E-3</v>
      </c>
      <c r="M271" s="2"/>
      <c r="N271" s="22">
        <v>-16</v>
      </c>
      <c r="O271" s="22">
        <v>-16.039000000000001</v>
      </c>
      <c r="P271" s="22">
        <v>-16.038</v>
      </c>
      <c r="Q271" s="27">
        <f t="shared" si="120"/>
        <v>2.4375000000000924E-3</v>
      </c>
      <c r="R271" s="27">
        <f t="shared" si="121"/>
        <v>2.375000000000016E-3</v>
      </c>
      <c r="S271" s="45" t="s">
        <v>142</v>
      </c>
      <c r="T271" s="23"/>
      <c r="U271" s="11"/>
      <c r="V271" s="22">
        <v>-16</v>
      </c>
      <c r="W271" s="22">
        <v>-16.007000000000001</v>
      </c>
      <c r="X271" s="22">
        <v>-16.006</v>
      </c>
      <c r="Y271" s="27">
        <f t="shared" si="122"/>
        <v>4.3750000000009059E-4</v>
      </c>
      <c r="Z271" s="27">
        <f t="shared" si="123"/>
        <v>3.7500000000001421E-4</v>
      </c>
      <c r="AA271" s="38" t="s">
        <v>26</v>
      </c>
      <c r="AB271" s="23"/>
      <c r="AC271" s="11"/>
      <c r="AD271" s="22">
        <v>-16</v>
      </c>
      <c r="AE271" s="22">
        <v>-16.007000000000001</v>
      </c>
      <c r="AF271" s="22">
        <v>-16.006</v>
      </c>
      <c r="AG271" s="27">
        <f t="shared" si="124"/>
        <v>4.3750000000009059E-4</v>
      </c>
      <c r="AH271" s="27">
        <f t="shared" si="125"/>
        <v>3.7500000000001421E-4</v>
      </c>
      <c r="AI271" s="38" t="s">
        <v>26</v>
      </c>
      <c r="AJ271" s="23"/>
      <c r="AK271" s="11"/>
      <c r="AL271" s="22">
        <v>-16</v>
      </c>
      <c r="AM271" s="22">
        <v>-16.030999999999999</v>
      </c>
      <c r="AN271" s="22">
        <v>-16.03</v>
      </c>
      <c r="AO271" s="27">
        <f t="shared" si="126"/>
        <v>1.9374999999999254E-3</v>
      </c>
      <c r="AP271" s="27">
        <f t="shared" si="127"/>
        <v>1.8750000000000711E-3</v>
      </c>
      <c r="AQ271" s="47" t="s">
        <v>142</v>
      </c>
      <c r="AR271" s="23"/>
      <c r="AS271" s="11"/>
      <c r="AT271" s="12"/>
    </row>
    <row r="272" spans="2:46" customFormat="1" ht="28.8" x14ac:dyDescent="0.3">
      <c r="B272" s="10" t="s">
        <v>595</v>
      </c>
      <c r="C272" s="61"/>
      <c r="D272" s="8" t="s">
        <v>320</v>
      </c>
      <c r="E272" s="8" t="s">
        <v>320</v>
      </c>
      <c r="F272" s="8" t="s">
        <v>546</v>
      </c>
      <c r="G272" s="8" t="s">
        <v>334</v>
      </c>
      <c r="H272" s="45" t="s">
        <v>573</v>
      </c>
      <c r="I272" s="2"/>
      <c r="J272" s="4">
        <v>-16</v>
      </c>
      <c r="K272" s="4" t="s">
        <v>169</v>
      </c>
      <c r="L272" s="5">
        <v>1.15E-3</v>
      </c>
      <c r="M272" s="2"/>
      <c r="N272" s="22">
        <v>-16</v>
      </c>
      <c r="O272" s="22">
        <v>-16.038</v>
      </c>
      <c r="P272" s="22">
        <v>-16.039000000000001</v>
      </c>
      <c r="Q272" s="27">
        <f t="shared" si="120"/>
        <v>2.375000000000016E-3</v>
      </c>
      <c r="R272" s="27">
        <f t="shared" si="121"/>
        <v>2.4375000000000924E-3</v>
      </c>
      <c r="S272" s="45" t="s">
        <v>142</v>
      </c>
      <c r="T272" s="23"/>
      <c r="U272" s="11"/>
      <c r="V272" s="22">
        <v>-16</v>
      </c>
      <c r="W272" s="22">
        <v>-16.004999999999999</v>
      </c>
      <c r="X272" s="22">
        <v>-16.004000000000001</v>
      </c>
      <c r="Y272" s="27">
        <f t="shared" si="122"/>
        <v>3.1249999999993783E-4</v>
      </c>
      <c r="Z272" s="27">
        <f t="shared" si="123"/>
        <v>2.5000000000008349E-4</v>
      </c>
      <c r="AA272" s="38" t="s">
        <v>26</v>
      </c>
      <c r="AB272" s="23"/>
      <c r="AC272" s="11"/>
      <c r="AD272" s="22">
        <v>-16</v>
      </c>
      <c r="AE272" s="22">
        <v>-16.004999999999999</v>
      </c>
      <c r="AF272" s="22">
        <v>-16.004000000000001</v>
      </c>
      <c r="AG272" s="27">
        <f t="shared" si="124"/>
        <v>3.1249999999993783E-4</v>
      </c>
      <c r="AH272" s="27">
        <f t="shared" si="125"/>
        <v>2.5000000000008349E-4</v>
      </c>
      <c r="AI272" s="38" t="s">
        <v>26</v>
      </c>
      <c r="AJ272" s="23"/>
      <c r="AK272" s="11"/>
      <c r="AL272" s="22">
        <v>-16</v>
      </c>
      <c r="AM272" s="22">
        <v>-16.052</v>
      </c>
      <c r="AN272" s="22">
        <v>-16.047999999999998</v>
      </c>
      <c r="AO272" s="27">
        <f t="shared" si="126"/>
        <v>3.2499999999999751E-3</v>
      </c>
      <c r="AP272" s="27">
        <f t="shared" si="127"/>
        <v>2.9999999999998916E-3</v>
      </c>
      <c r="AQ272" s="47" t="s">
        <v>142</v>
      </c>
      <c r="AR272" s="23"/>
      <c r="AS272" s="11"/>
      <c r="AT272" s="12"/>
    </row>
    <row r="273" spans="2:46" customFormat="1" ht="28.8" x14ac:dyDescent="0.3">
      <c r="B273" s="10" t="s">
        <v>596</v>
      </c>
      <c r="C273" s="61"/>
      <c r="D273" s="8" t="s">
        <v>320</v>
      </c>
      <c r="E273" s="8" t="s">
        <v>320</v>
      </c>
      <c r="F273" s="8" t="s">
        <v>546</v>
      </c>
      <c r="G273" s="8" t="s">
        <v>336</v>
      </c>
      <c r="H273" s="45" t="s">
        <v>573</v>
      </c>
      <c r="I273" s="2"/>
      <c r="J273" s="4">
        <v>-16</v>
      </c>
      <c r="K273" s="4" t="s">
        <v>169</v>
      </c>
      <c r="L273" s="5">
        <v>1.15E-3</v>
      </c>
      <c r="M273" s="2"/>
      <c r="N273" s="22">
        <v>-16</v>
      </c>
      <c r="O273" s="22">
        <v>-16.038</v>
      </c>
      <c r="P273" s="22">
        <v>-16.038</v>
      </c>
      <c r="Q273" s="27">
        <f t="shared" si="120"/>
        <v>2.375000000000016E-3</v>
      </c>
      <c r="R273" s="27">
        <f t="shared" si="121"/>
        <v>2.375000000000016E-3</v>
      </c>
      <c r="S273" s="45" t="s">
        <v>142</v>
      </c>
      <c r="T273" s="23"/>
      <c r="U273" s="11"/>
      <c r="V273" s="22">
        <v>-16</v>
      </c>
      <c r="W273" s="22">
        <v>-16.007000000000001</v>
      </c>
      <c r="X273" s="22">
        <v>-16.006</v>
      </c>
      <c r="Y273" s="27">
        <f t="shared" si="122"/>
        <v>4.3750000000009059E-4</v>
      </c>
      <c r="Z273" s="27">
        <f t="shared" si="123"/>
        <v>3.7500000000001421E-4</v>
      </c>
      <c r="AA273" s="38" t="s">
        <v>26</v>
      </c>
      <c r="AB273" s="23"/>
      <c r="AC273" s="11"/>
      <c r="AD273" s="22">
        <v>-16</v>
      </c>
      <c r="AE273" s="22">
        <v>-16.007000000000001</v>
      </c>
      <c r="AF273" s="22">
        <v>-16.006</v>
      </c>
      <c r="AG273" s="27">
        <f t="shared" si="124"/>
        <v>4.3750000000009059E-4</v>
      </c>
      <c r="AH273" s="27">
        <f t="shared" si="125"/>
        <v>3.7500000000001421E-4</v>
      </c>
      <c r="AI273" s="38" t="s">
        <v>26</v>
      </c>
      <c r="AJ273" s="23"/>
      <c r="AK273" s="11"/>
      <c r="AL273" s="22">
        <v>-16</v>
      </c>
      <c r="AM273" s="22">
        <v>-16.030999999999999</v>
      </c>
      <c r="AN273" s="22">
        <v>-16.027999999999999</v>
      </c>
      <c r="AO273" s="27">
        <f t="shared" si="126"/>
        <v>1.9374999999999254E-3</v>
      </c>
      <c r="AP273" s="27">
        <f t="shared" si="127"/>
        <v>1.7499999999999183E-3</v>
      </c>
      <c r="AQ273" s="47" t="s">
        <v>142</v>
      </c>
      <c r="AR273" s="23"/>
      <c r="AS273" s="11"/>
      <c r="AT273" s="12"/>
    </row>
    <row r="274" spans="2:46" customFormat="1" ht="28.8" x14ac:dyDescent="0.3">
      <c r="B274" s="10" t="s">
        <v>597</v>
      </c>
      <c r="C274" s="61"/>
      <c r="D274" s="8" t="s">
        <v>320</v>
      </c>
      <c r="E274" s="8" t="s">
        <v>320</v>
      </c>
      <c r="F274" s="8" t="s">
        <v>546</v>
      </c>
      <c r="G274" s="8" t="s">
        <v>338</v>
      </c>
      <c r="H274" s="45" t="s">
        <v>573</v>
      </c>
      <c r="I274" s="2"/>
      <c r="J274" s="4">
        <v>-16</v>
      </c>
      <c r="K274" s="4" t="s">
        <v>169</v>
      </c>
      <c r="L274" s="5">
        <v>1.15E-3</v>
      </c>
      <c r="M274" s="2"/>
      <c r="N274" s="22">
        <v>-16</v>
      </c>
      <c r="O274" s="22">
        <v>-16.036999999999999</v>
      </c>
      <c r="P274" s="22">
        <v>-16.036999999999999</v>
      </c>
      <c r="Q274" s="27">
        <f t="shared" si="120"/>
        <v>2.3124999999999396E-3</v>
      </c>
      <c r="R274" s="27">
        <f t="shared" si="121"/>
        <v>2.3124999999999396E-3</v>
      </c>
      <c r="S274" s="45" t="s">
        <v>142</v>
      </c>
      <c r="T274" s="23"/>
      <c r="U274" s="11"/>
      <c r="V274" s="22">
        <v>-16</v>
      </c>
      <c r="W274" s="22">
        <v>-16.007000000000001</v>
      </c>
      <c r="X274" s="22">
        <v>-16.006</v>
      </c>
      <c r="Y274" s="27">
        <f t="shared" si="122"/>
        <v>4.3750000000009059E-4</v>
      </c>
      <c r="Z274" s="27">
        <f t="shared" si="123"/>
        <v>3.7500000000001421E-4</v>
      </c>
      <c r="AA274" s="38" t="s">
        <v>26</v>
      </c>
      <c r="AB274" s="23"/>
      <c r="AC274" s="11"/>
      <c r="AD274" s="22">
        <v>-16</v>
      </c>
      <c r="AE274" s="22">
        <v>-16.007000000000001</v>
      </c>
      <c r="AF274" s="22">
        <v>-16.006</v>
      </c>
      <c r="AG274" s="27">
        <f t="shared" si="124"/>
        <v>4.3750000000009059E-4</v>
      </c>
      <c r="AH274" s="27">
        <f t="shared" si="125"/>
        <v>3.7500000000001421E-4</v>
      </c>
      <c r="AI274" s="38" t="s">
        <v>26</v>
      </c>
      <c r="AJ274" s="23"/>
      <c r="AK274" s="11"/>
      <c r="AL274" s="22">
        <v>-16</v>
      </c>
      <c r="AM274" s="22">
        <v>-16.039000000000001</v>
      </c>
      <c r="AN274" s="22">
        <v>-16.036000000000001</v>
      </c>
      <c r="AO274" s="27">
        <f t="shared" si="126"/>
        <v>2.4375000000000924E-3</v>
      </c>
      <c r="AP274" s="27">
        <f t="shared" si="127"/>
        <v>2.2500000000000853E-3</v>
      </c>
      <c r="AQ274" s="47" t="s">
        <v>142</v>
      </c>
      <c r="AR274" s="23"/>
      <c r="AS274" s="11"/>
      <c r="AT274" s="12"/>
    </row>
    <row r="275" spans="2:46" customFormat="1" ht="28.8" x14ac:dyDescent="0.3">
      <c r="B275" s="10" t="s">
        <v>598</v>
      </c>
      <c r="C275" s="61"/>
      <c r="D275" s="8" t="s">
        <v>320</v>
      </c>
      <c r="E275" s="8" t="s">
        <v>320</v>
      </c>
      <c r="F275" s="8" t="s">
        <v>547</v>
      </c>
      <c r="G275" s="8" t="s">
        <v>323</v>
      </c>
      <c r="H275" s="47" t="s">
        <v>578</v>
      </c>
      <c r="I275" s="2"/>
      <c r="J275" s="4">
        <v>24</v>
      </c>
      <c r="K275" s="4" t="s">
        <v>169</v>
      </c>
      <c r="L275" s="5">
        <v>1.1000000000000001E-3</v>
      </c>
      <c r="M275" s="2"/>
      <c r="N275" s="22">
        <v>24</v>
      </c>
      <c r="O275" s="22">
        <v>24.015000000000001</v>
      </c>
      <c r="P275" s="22">
        <v>24.015999999999998</v>
      </c>
      <c r="Q275" s="27">
        <f t="shared" si="120"/>
        <v>6.2500000000002365E-4</v>
      </c>
      <c r="R275" s="27">
        <f t="shared" si="121"/>
        <v>6.6666666666659324E-4</v>
      </c>
      <c r="S275" s="47" t="s">
        <v>578</v>
      </c>
      <c r="T275" s="23"/>
      <c r="U275" s="11"/>
      <c r="V275" s="22">
        <v>24</v>
      </c>
      <c r="W275" s="22">
        <v>24.001000000000001</v>
      </c>
      <c r="X275" s="22">
        <v>24.003</v>
      </c>
      <c r="Y275" s="27">
        <f t="shared" si="122"/>
        <v>4.1666666666717589E-5</v>
      </c>
      <c r="Z275" s="27">
        <f t="shared" si="123"/>
        <v>1.2500000000000475E-4</v>
      </c>
      <c r="AA275" s="47" t="s">
        <v>578</v>
      </c>
      <c r="AB275" s="23"/>
      <c r="AC275" s="11"/>
      <c r="AD275" s="22">
        <v>24</v>
      </c>
      <c r="AE275" s="22">
        <v>24.001000000000001</v>
      </c>
      <c r="AF275" s="22">
        <v>24.003</v>
      </c>
      <c r="AG275" s="27">
        <f t="shared" si="124"/>
        <v>4.1666666666717589E-5</v>
      </c>
      <c r="AH275" s="27">
        <f t="shared" si="125"/>
        <v>1.2500000000000475E-4</v>
      </c>
      <c r="AI275" s="47" t="s">
        <v>578</v>
      </c>
      <c r="AJ275" s="23"/>
      <c r="AK275" s="11"/>
      <c r="AL275" s="22">
        <v>30</v>
      </c>
      <c r="AM275" s="22">
        <v>29.984999999999999</v>
      </c>
      <c r="AN275" s="22">
        <v>29.988</v>
      </c>
      <c r="AO275" s="27">
        <f t="shared" si="126"/>
        <v>-5.0000000000001898E-4</v>
      </c>
      <c r="AP275" s="27">
        <f t="shared" si="127"/>
        <v>-4.0000000000001514E-4</v>
      </c>
      <c r="AQ275" s="38" t="s">
        <v>26</v>
      </c>
      <c r="AR275" s="22">
        <f>MIN(AM275:AN282)</f>
        <v>29.983000000000001</v>
      </c>
      <c r="AS275" s="11"/>
      <c r="AT275" s="57" t="s">
        <v>574</v>
      </c>
    </row>
    <row r="276" spans="2:46" customFormat="1" ht="28.8" x14ac:dyDescent="0.3">
      <c r="B276" s="10" t="s">
        <v>599</v>
      </c>
      <c r="C276" s="61"/>
      <c r="D276" s="8" t="s">
        <v>320</v>
      </c>
      <c r="E276" s="8" t="s">
        <v>320</v>
      </c>
      <c r="F276" s="8" t="s">
        <v>547</v>
      </c>
      <c r="G276" s="8" t="s">
        <v>325</v>
      </c>
      <c r="H276" s="47" t="s">
        <v>578</v>
      </c>
      <c r="I276" s="2"/>
      <c r="J276" s="4">
        <v>24</v>
      </c>
      <c r="K276" s="4" t="s">
        <v>169</v>
      </c>
      <c r="L276" s="5">
        <v>1.1000000000000001E-3</v>
      </c>
      <c r="M276" s="2"/>
      <c r="N276" s="22">
        <v>24</v>
      </c>
      <c r="O276" s="22">
        <v>24.015000000000001</v>
      </c>
      <c r="P276" s="22">
        <v>24.015999999999998</v>
      </c>
      <c r="Q276" s="27">
        <f t="shared" si="120"/>
        <v>6.2500000000002365E-4</v>
      </c>
      <c r="R276" s="27">
        <f t="shared" si="121"/>
        <v>6.6666666666659324E-4</v>
      </c>
      <c r="S276" s="47" t="s">
        <v>578</v>
      </c>
      <c r="T276" s="23"/>
      <c r="U276" s="11"/>
      <c r="V276" s="22">
        <v>24</v>
      </c>
      <c r="W276" s="22">
        <v>24.001000000000001</v>
      </c>
      <c r="X276" s="22">
        <v>24.003</v>
      </c>
      <c r="Y276" s="27">
        <f t="shared" si="122"/>
        <v>4.1666666666717589E-5</v>
      </c>
      <c r="Z276" s="27">
        <f t="shared" si="123"/>
        <v>1.2500000000000475E-4</v>
      </c>
      <c r="AA276" s="47" t="s">
        <v>578</v>
      </c>
      <c r="AB276" s="23"/>
      <c r="AC276" s="11"/>
      <c r="AD276" s="22">
        <v>24</v>
      </c>
      <c r="AE276" s="22">
        <v>24.001000000000001</v>
      </c>
      <c r="AF276" s="22">
        <v>24.003</v>
      </c>
      <c r="AG276" s="27">
        <f t="shared" si="124"/>
        <v>4.1666666666717589E-5</v>
      </c>
      <c r="AH276" s="27">
        <f t="shared" si="125"/>
        <v>1.2500000000000475E-4</v>
      </c>
      <c r="AI276" s="47" t="s">
        <v>578</v>
      </c>
      <c r="AJ276" s="23"/>
      <c r="AK276" s="11"/>
      <c r="AL276" s="22">
        <v>30</v>
      </c>
      <c r="AM276" s="22">
        <v>29.986999999999998</v>
      </c>
      <c r="AN276" s="22">
        <v>29.99</v>
      </c>
      <c r="AO276" s="27">
        <f t="shared" si="126"/>
        <v>-4.333333333333892E-4</v>
      </c>
      <c r="AP276" s="27">
        <f t="shared" si="127"/>
        <v>-3.3333333333338542E-4</v>
      </c>
      <c r="AQ276" s="38" t="s">
        <v>26</v>
      </c>
      <c r="AR276" s="22">
        <f>MAX(AM275:AN282)</f>
        <v>30.030999999999999</v>
      </c>
      <c r="AS276" s="11"/>
      <c r="AT276" s="58"/>
    </row>
    <row r="277" spans="2:46" customFormat="1" ht="28.8" x14ac:dyDescent="0.3">
      <c r="B277" s="10" t="s">
        <v>600</v>
      </c>
      <c r="C277" s="61"/>
      <c r="D277" s="8" t="s">
        <v>320</v>
      </c>
      <c r="E277" s="8" t="s">
        <v>320</v>
      </c>
      <c r="F277" s="8" t="s">
        <v>547</v>
      </c>
      <c r="G277" s="8" t="s">
        <v>327</v>
      </c>
      <c r="H277" s="47" t="s">
        <v>578</v>
      </c>
      <c r="I277" s="2"/>
      <c r="J277" s="4">
        <v>24</v>
      </c>
      <c r="K277" s="4" t="s">
        <v>169</v>
      </c>
      <c r="L277" s="5">
        <v>1.1000000000000001E-3</v>
      </c>
      <c r="M277" s="2"/>
      <c r="N277" s="22">
        <v>24</v>
      </c>
      <c r="O277" s="22">
        <v>24.015000000000001</v>
      </c>
      <c r="P277" s="22">
        <v>24.015999999999998</v>
      </c>
      <c r="Q277" s="27">
        <f t="shared" si="120"/>
        <v>6.2500000000002365E-4</v>
      </c>
      <c r="R277" s="27">
        <f t="shared" si="121"/>
        <v>6.6666666666659324E-4</v>
      </c>
      <c r="S277" s="47" t="s">
        <v>578</v>
      </c>
      <c r="T277" s="23"/>
      <c r="U277" s="11"/>
      <c r="V277" s="22">
        <v>24</v>
      </c>
      <c r="W277" s="22">
        <v>24</v>
      </c>
      <c r="X277" s="22">
        <v>24.001999999999999</v>
      </c>
      <c r="Y277" s="27">
        <f t="shared" si="122"/>
        <v>0</v>
      </c>
      <c r="Z277" s="27">
        <f t="shared" si="123"/>
        <v>8.3333333333287144E-5</v>
      </c>
      <c r="AA277" s="47" t="s">
        <v>578</v>
      </c>
      <c r="AB277" s="23"/>
      <c r="AC277" s="11"/>
      <c r="AD277" s="22">
        <v>24</v>
      </c>
      <c r="AE277" s="22">
        <v>24</v>
      </c>
      <c r="AF277" s="22">
        <v>24.001999999999999</v>
      </c>
      <c r="AG277" s="27">
        <f t="shared" si="124"/>
        <v>0</v>
      </c>
      <c r="AH277" s="27">
        <f t="shared" si="125"/>
        <v>8.3333333333287144E-5</v>
      </c>
      <c r="AI277" s="47" t="s">
        <v>578</v>
      </c>
      <c r="AJ277" s="23"/>
      <c r="AK277" s="11"/>
      <c r="AL277" s="22">
        <v>30</v>
      </c>
      <c r="AM277" s="22">
        <v>30.012</v>
      </c>
      <c r="AN277" s="22">
        <v>30.013999999999999</v>
      </c>
      <c r="AO277" s="27">
        <f t="shared" si="126"/>
        <v>4.0000000000001514E-4</v>
      </c>
      <c r="AP277" s="27">
        <f t="shared" si="127"/>
        <v>4.6666666666664487E-4</v>
      </c>
      <c r="AQ277" s="38" t="s">
        <v>26</v>
      </c>
      <c r="AR277" s="23"/>
      <c r="AS277" s="11"/>
      <c r="AT277" s="58"/>
    </row>
    <row r="278" spans="2:46" customFormat="1" ht="28.8" x14ac:dyDescent="0.3">
      <c r="B278" s="10" t="s">
        <v>601</v>
      </c>
      <c r="C278" s="61"/>
      <c r="D278" s="8" t="s">
        <v>320</v>
      </c>
      <c r="E278" s="8" t="s">
        <v>320</v>
      </c>
      <c r="F278" s="8" t="s">
        <v>547</v>
      </c>
      <c r="G278" s="8" t="s">
        <v>329</v>
      </c>
      <c r="H278" s="47" t="s">
        <v>578</v>
      </c>
      <c r="I278" s="2"/>
      <c r="J278" s="4">
        <v>24</v>
      </c>
      <c r="K278" s="4" t="s">
        <v>169</v>
      </c>
      <c r="L278" s="5">
        <v>1.1000000000000001E-3</v>
      </c>
      <c r="M278" s="2"/>
      <c r="N278" s="22">
        <v>24</v>
      </c>
      <c r="O278" s="22">
        <v>24.013999999999999</v>
      </c>
      <c r="P278" s="22">
        <v>24.015000000000001</v>
      </c>
      <c r="Q278" s="27">
        <f t="shared" si="120"/>
        <v>5.8333333333330606E-4</v>
      </c>
      <c r="R278" s="27">
        <f t="shared" si="121"/>
        <v>6.2500000000002365E-4</v>
      </c>
      <c r="S278" s="47" t="s">
        <v>578</v>
      </c>
      <c r="T278" s="23"/>
      <c r="U278" s="11"/>
      <c r="V278" s="22">
        <v>24</v>
      </c>
      <c r="W278" s="22">
        <v>24.001000000000001</v>
      </c>
      <c r="X278" s="22">
        <v>24.003</v>
      </c>
      <c r="Y278" s="27">
        <f t="shared" si="122"/>
        <v>4.1666666666717589E-5</v>
      </c>
      <c r="Z278" s="27">
        <f t="shared" si="123"/>
        <v>1.2500000000000475E-4</v>
      </c>
      <c r="AA278" s="47" t="s">
        <v>578</v>
      </c>
      <c r="AB278" s="23"/>
      <c r="AC278" s="11"/>
      <c r="AD278" s="22">
        <v>24</v>
      </c>
      <c r="AE278" s="22">
        <v>24.001000000000001</v>
      </c>
      <c r="AF278" s="22">
        <v>24.003</v>
      </c>
      <c r="AG278" s="27">
        <f t="shared" si="124"/>
        <v>4.1666666666717589E-5</v>
      </c>
      <c r="AH278" s="27">
        <f t="shared" si="125"/>
        <v>1.2500000000000475E-4</v>
      </c>
      <c r="AI278" s="47" t="s">
        <v>578</v>
      </c>
      <c r="AJ278" s="23"/>
      <c r="AK278" s="11"/>
      <c r="AL278" s="22">
        <v>30</v>
      </c>
      <c r="AM278" s="22">
        <v>30.027000000000001</v>
      </c>
      <c r="AN278" s="22">
        <v>30.030999999999999</v>
      </c>
      <c r="AO278" s="27">
        <f t="shared" si="126"/>
        <v>9.0000000000003413E-4</v>
      </c>
      <c r="AP278" s="27">
        <f t="shared" si="127"/>
        <v>1.0333333333332935E-3</v>
      </c>
      <c r="AQ278" s="38" t="s">
        <v>26</v>
      </c>
      <c r="AR278" s="23"/>
      <c r="AS278" s="11"/>
      <c r="AT278" s="58"/>
    </row>
    <row r="279" spans="2:46" customFormat="1" ht="28.8" x14ac:dyDescent="0.3">
      <c r="B279" s="10" t="s">
        <v>602</v>
      </c>
      <c r="C279" s="61"/>
      <c r="D279" s="8" t="s">
        <v>320</v>
      </c>
      <c r="E279" s="8" t="s">
        <v>320</v>
      </c>
      <c r="F279" s="8" t="s">
        <v>547</v>
      </c>
      <c r="G279" s="8" t="s">
        <v>331</v>
      </c>
      <c r="H279" s="47" t="s">
        <v>578</v>
      </c>
      <c r="I279" s="2"/>
      <c r="J279" s="4">
        <v>24</v>
      </c>
      <c r="K279" s="4" t="s">
        <v>169</v>
      </c>
      <c r="L279" s="5">
        <v>1.1000000000000001E-3</v>
      </c>
      <c r="M279" s="2"/>
      <c r="N279" s="22">
        <v>24</v>
      </c>
      <c r="O279" s="22">
        <v>24.015000000000001</v>
      </c>
      <c r="P279" s="22">
        <v>24.015999999999998</v>
      </c>
      <c r="Q279" s="27">
        <f t="shared" si="120"/>
        <v>6.2500000000002365E-4</v>
      </c>
      <c r="R279" s="27">
        <f t="shared" si="121"/>
        <v>6.6666666666659324E-4</v>
      </c>
      <c r="S279" s="47" t="s">
        <v>578</v>
      </c>
      <c r="T279" s="23"/>
      <c r="U279" s="11"/>
      <c r="V279" s="22">
        <v>24</v>
      </c>
      <c r="W279" s="22">
        <v>23.998000000000001</v>
      </c>
      <c r="X279" s="22">
        <v>24.003</v>
      </c>
      <c r="Y279" s="27">
        <f t="shared" si="122"/>
        <v>-8.3333333333287144E-5</v>
      </c>
      <c r="Z279" s="27">
        <f t="shared" si="123"/>
        <v>1.2500000000000475E-4</v>
      </c>
      <c r="AA279" s="47" t="s">
        <v>578</v>
      </c>
      <c r="AB279" s="23"/>
      <c r="AC279" s="11"/>
      <c r="AD279" s="22">
        <v>24</v>
      </c>
      <c r="AE279" s="22">
        <v>23.998000000000001</v>
      </c>
      <c r="AF279" s="22">
        <v>24.003</v>
      </c>
      <c r="AG279" s="27">
        <f t="shared" si="124"/>
        <v>-8.3333333333287144E-5</v>
      </c>
      <c r="AH279" s="27">
        <f t="shared" si="125"/>
        <v>1.2500000000000475E-4</v>
      </c>
      <c r="AI279" s="47" t="s">
        <v>578</v>
      </c>
      <c r="AJ279" s="23"/>
      <c r="AK279" s="11"/>
      <c r="AL279" s="22">
        <v>30</v>
      </c>
      <c r="AM279" s="22">
        <v>29.986999999999998</v>
      </c>
      <c r="AN279" s="22">
        <v>29.99</v>
      </c>
      <c r="AO279" s="27">
        <f t="shared" si="126"/>
        <v>-4.333333333333892E-4</v>
      </c>
      <c r="AP279" s="27">
        <f t="shared" si="127"/>
        <v>-3.3333333333338542E-4</v>
      </c>
      <c r="AQ279" s="38" t="s">
        <v>26</v>
      </c>
      <c r="AR279" s="23"/>
      <c r="AS279" s="11"/>
      <c r="AT279" s="58"/>
    </row>
    <row r="280" spans="2:46" customFormat="1" ht="28.8" x14ac:dyDescent="0.3">
      <c r="B280" s="10" t="s">
        <v>603</v>
      </c>
      <c r="C280" s="61"/>
      <c r="D280" s="8" t="s">
        <v>320</v>
      </c>
      <c r="E280" s="8" t="s">
        <v>320</v>
      </c>
      <c r="F280" s="8" t="s">
        <v>547</v>
      </c>
      <c r="G280" s="8" t="s">
        <v>333</v>
      </c>
      <c r="H280" s="47" t="s">
        <v>578</v>
      </c>
      <c r="I280" s="2"/>
      <c r="J280" s="4">
        <v>24</v>
      </c>
      <c r="K280" s="4" t="s">
        <v>169</v>
      </c>
      <c r="L280" s="5">
        <v>1.1000000000000001E-3</v>
      </c>
      <c r="M280" s="2"/>
      <c r="N280" s="22">
        <v>24</v>
      </c>
      <c r="O280" s="22">
        <v>24.015000000000001</v>
      </c>
      <c r="P280" s="22">
        <v>24.015999999999998</v>
      </c>
      <c r="Q280" s="27">
        <f t="shared" si="120"/>
        <v>6.2500000000002365E-4</v>
      </c>
      <c r="R280" s="27">
        <f t="shared" si="121"/>
        <v>6.6666666666659324E-4</v>
      </c>
      <c r="S280" s="47" t="s">
        <v>578</v>
      </c>
      <c r="T280" s="23"/>
      <c r="U280" s="11"/>
      <c r="V280" s="22">
        <v>24</v>
      </c>
      <c r="W280" s="22">
        <v>23.995999999999999</v>
      </c>
      <c r="X280" s="22">
        <v>24</v>
      </c>
      <c r="Y280" s="27">
        <f t="shared" si="122"/>
        <v>-1.6666666666672233E-4</v>
      </c>
      <c r="Z280" s="27">
        <f t="shared" si="123"/>
        <v>0</v>
      </c>
      <c r="AA280" s="47" t="s">
        <v>578</v>
      </c>
      <c r="AB280" s="23"/>
      <c r="AC280" s="11"/>
      <c r="AD280" s="22">
        <v>24</v>
      </c>
      <c r="AE280" s="22">
        <v>23.995999999999999</v>
      </c>
      <c r="AF280" s="22">
        <v>24</v>
      </c>
      <c r="AG280" s="27">
        <f t="shared" si="124"/>
        <v>-1.6666666666672233E-4</v>
      </c>
      <c r="AH280" s="27">
        <f t="shared" si="125"/>
        <v>0</v>
      </c>
      <c r="AI280" s="47" t="s">
        <v>578</v>
      </c>
      <c r="AJ280" s="23"/>
      <c r="AK280" s="11"/>
      <c r="AL280" s="22">
        <v>30</v>
      </c>
      <c r="AM280" s="22">
        <v>30.026</v>
      </c>
      <c r="AN280" s="22">
        <v>30.029</v>
      </c>
      <c r="AO280" s="27">
        <f t="shared" si="126"/>
        <v>8.6666666666666001E-4</v>
      </c>
      <c r="AP280" s="27">
        <f t="shared" si="127"/>
        <v>9.6666666666666385E-4</v>
      </c>
      <c r="AQ280" s="38" t="s">
        <v>26</v>
      </c>
      <c r="AR280" s="23"/>
      <c r="AS280" s="11"/>
      <c r="AT280" s="58"/>
    </row>
    <row r="281" spans="2:46" customFormat="1" ht="28.8" x14ac:dyDescent="0.3">
      <c r="B281" s="10" t="s">
        <v>604</v>
      </c>
      <c r="C281" s="61"/>
      <c r="D281" s="8" t="s">
        <v>320</v>
      </c>
      <c r="E281" s="8" t="s">
        <v>320</v>
      </c>
      <c r="F281" s="8" t="s">
        <v>547</v>
      </c>
      <c r="G281" s="8" t="s">
        <v>335</v>
      </c>
      <c r="H281" s="47" t="s">
        <v>578</v>
      </c>
      <c r="I281" s="2"/>
      <c r="J281" s="4">
        <v>24</v>
      </c>
      <c r="K281" s="4" t="s">
        <v>169</v>
      </c>
      <c r="L281" s="5">
        <v>1.1000000000000001E-3</v>
      </c>
      <c r="M281" s="2"/>
      <c r="N281" s="22">
        <v>24</v>
      </c>
      <c r="O281" s="22">
        <v>24.015000000000001</v>
      </c>
      <c r="P281" s="22">
        <v>24.015999999999998</v>
      </c>
      <c r="Q281" s="27">
        <f t="shared" si="120"/>
        <v>6.2500000000002365E-4</v>
      </c>
      <c r="R281" s="27">
        <f t="shared" si="121"/>
        <v>6.6666666666659324E-4</v>
      </c>
      <c r="S281" s="47" t="s">
        <v>578</v>
      </c>
      <c r="T281" s="23"/>
      <c r="U281" s="11"/>
      <c r="V281" s="22">
        <v>24</v>
      </c>
      <c r="W281" s="22">
        <v>23.998000000000001</v>
      </c>
      <c r="X281" s="22">
        <v>24</v>
      </c>
      <c r="Y281" s="27">
        <f t="shared" si="122"/>
        <v>-8.3333333333287144E-5</v>
      </c>
      <c r="Z281" s="27">
        <f t="shared" si="123"/>
        <v>0</v>
      </c>
      <c r="AA281" s="47" t="s">
        <v>578</v>
      </c>
      <c r="AB281" s="23"/>
      <c r="AC281" s="11"/>
      <c r="AD281" s="22">
        <v>24</v>
      </c>
      <c r="AE281" s="22">
        <v>23.998000000000001</v>
      </c>
      <c r="AF281" s="22">
        <v>24</v>
      </c>
      <c r="AG281" s="27">
        <f t="shared" si="124"/>
        <v>-8.3333333333287144E-5</v>
      </c>
      <c r="AH281" s="27">
        <f t="shared" si="125"/>
        <v>0</v>
      </c>
      <c r="AI281" s="47" t="s">
        <v>578</v>
      </c>
      <c r="AJ281" s="23"/>
      <c r="AK281" s="11"/>
      <c r="AL281" s="22">
        <v>30</v>
      </c>
      <c r="AM281" s="22">
        <v>29.983000000000001</v>
      </c>
      <c r="AN281" s="22">
        <v>29.986000000000001</v>
      </c>
      <c r="AO281" s="27">
        <f t="shared" si="126"/>
        <v>-5.6666666666664871E-4</v>
      </c>
      <c r="AP281" s="27">
        <f t="shared" si="127"/>
        <v>-4.6666666666664487E-4</v>
      </c>
      <c r="AQ281" s="38" t="s">
        <v>26</v>
      </c>
      <c r="AR281" s="23"/>
      <c r="AS281" s="11"/>
      <c r="AT281" s="58"/>
    </row>
    <row r="282" spans="2:46" customFormat="1" ht="28.8" x14ac:dyDescent="0.3">
      <c r="B282" s="10" t="s">
        <v>605</v>
      </c>
      <c r="C282" s="61"/>
      <c r="D282" s="8" t="s">
        <v>320</v>
      </c>
      <c r="E282" s="8" t="s">
        <v>320</v>
      </c>
      <c r="F282" s="8" t="s">
        <v>547</v>
      </c>
      <c r="G282" s="8" t="s">
        <v>337</v>
      </c>
      <c r="H282" s="47" t="s">
        <v>578</v>
      </c>
      <c r="I282" s="2"/>
      <c r="J282" s="4">
        <v>24</v>
      </c>
      <c r="K282" s="4" t="s">
        <v>169</v>
      </c>
      <c r="L282" s="5">
        <v>1.1000000000000001E-3</v>
      </c>
      <c r="M282" s="2"/>
      <c r="N282" s="22">
        <v>24</v>
      </c>
      <c r="O282" s="22">
        <v>24.015000000000001</v>
      </c>
      <c r="P282" s="22">
        <v>24.015999999999998</v>
      </c>
      <c r="Q282" s="27">
        <f t="shared" si="120"/>
        <v>6.2500000000002365E-4</v>
      </c>
      <c r="R282" s="27">
        <f t="shared" si="121"/>
        <v>6.6666666666659324E-4</v>
      </c>
      <c r="S282" s="47" t="s">
        <v>578</v>
      </c>
      <c r="T282" s="23"/>
      <c r="U282" s="11"/>
      <c r="V282" s="22">
        <v>24</v>
      </c>
      <c r="W282" s="22">
        <v>23.998000000000001</v>
      </c>
      <c r="X282" s="22">
        <v>24</v>
      </c>
      <c r="Y282" s="27">
        <f t="shared" si="122"/>
        <v>-8.3333333333287144E-5</v>
      </c>
      <c r="Z282" s="27">
        <f t="shared" si="123"/>
        <v>0</v>
      </c>
      <c r="AA282" s="47" t="s">
        <v>578</v>
      </c>
      <c r="AB282" s="23"/>
      <c r="AC282" s="11"/>
      <c r="AD282" s="22">
        <v>24</v>
      </c>
      <c r="AE282" s="22">
        <v>23.998000000000001</v>
      </c>
      <c r="AF282" s="22">
        <v>24</v>
      </c>
      <c r="AG282" s="27">
        <f t="shared" si="124"/>
        <v>-8.3333333333287144E-5</v>
      </c>
      <c r="AH282" s="27">
        <f t="shared" si="125"/>
        <v>0</v>
      </c>
      <c r="AI282" s="47" t="s">
        <v>578</v>
      </c>
      <c r="AJ282" s="23"/>
      <c r="AK282" s="11"/>
      <c r="AL282" s="22">
        <v>30</v>
      </c>
      <c r="AM282" s="22">
        <v>30.003</v>
      </c>
      <c r="AN282" s="22">
        <v>30.006</v>
      </c>
      <c r="AO282" s="27">
        <f t="shared" si="126"/>
        <v>1.0000000000000379E-4</v>
      </c>
      <c r="AP282" s="27">
        <f t="shared" si="127"/>
        <v>2.0000000000000757E-4</v>
      </c>
      <c r="AQ282" s="38" t="s">
        <v>26</v>
      </c>
      <c r="AR282" s="23"/>
      <c r="AS282" s="11"/>
      <c r="AT282" s="58"/>
    </row>
    <row r="283" spans="2:46" customFormat="1" ht="43.2" x14ac:dyDescent="0.3">
      <c r="B283" s="10" t="s">
        <v>606</v>
      </c>
      <c r="C283" s="61"/>
      <c r="D283" s="8" t="s">
        <v>320</v>
      </c>
      <c r="E283" s="8" t="s">
        <v>320</v>
      </c>
      <c r="F283" s="8" t="s">
        <v>547</v>
      </c>
      <c r="G283" s="8" t="s">
        <v>324</v>
      </c>
      <c r="H283" s="47" t="s">
        <v>577</v>
      </c>
      <c r="I283" s="2"/>
      <c r="J283" s="4">
        <v>-24</v>
      </c>
      <c r="K283" s="4" t="s">
        <v>169</v>
      </c>
      <c r="L283" s="5">
        <v>1.1000000000000001E-3</v>
      </c>
      <c r="M283" s="2"/>
      <c r="N283" s="22">
        <v>-24</v>
      </c>
      <c r="O283" s="22">
        <v>-24.044</v>
      </c>
      <c r="P283" s="22">
        <v>-24.042999999999999</v>
      </c>
      <c r="Q283" s="27">
        <f t="shared" si="120"/>
        <v>1.8333333333333535E-3</v>
      </c>
      <c r="R283" s="27">
        <f t="shared" si="121"/>
        <v>1.7916666666666359E-3</v>
      </c>
      <c r="S283" s="46" t="s">
        <v>575</v>
      </c>
      <c r="T283" s="23"/>
      <c r="U283" s="11"/>
      <c r="V283" s="22">
        <v>-24</v>
      </c>
      <c r="W283" s="22">
        <v>-24.018000000000001</v>
      </c>
      <c r="X283" s="22">
        <v>-24.016999999999999</v>
      </c>
      <c r="Y283" s="27">
        <f t="shared" si="122"/>
        <v>7.5000000000002842E-4</v>
      </c>
      <c r="Z283" s="27">
        <f t="shared" si="123"/>
        <v>7.0833333333331083E-4</v>
      </c>
      <c r="AA283" s="46" t="s">
        <v>576</v>
      </c>
      <c r="AB283" s="23"/>
      <c r="AC283" s="11"/>
      <c r="AD283" s="22">
        <v>-24</v>
      </c>
      <c r="AE283" s="22">
        <v>-24.018000000000001</v>
      </c>
      <c r="AF283" s="22">
        <v>-24.016999999999999</v>
      </c>
      <c r="AG283" s="27">
        <f t="shared" si="124"/>
        <v>7.5000000000002842E-4</v>
      </c>
      <c r="AH283" s="27">
        <f t="shared" si="125"/>
        <v>7.0833333333331083E-4</v>
      </c>
      <c r="AI283" s="46" t="s">
        <v>576</v>
      </c>
      <c r="AJ283" s="23"/>
      <c r="AK283" s="11"/>
      <c r="AL283" s="22"/>
      <c r="AM283" s="22"/>
      <c r="AN283" s="22"/>
      <c r="AO283" s="27"/>
      <c r="AP283" s="27"/>
      <c r="AQ283" s="23"/>
      <c r="AR283" s="23" t="s">
        <v>685</v>
      </c>
      <c r="AS283" s="11"/>
      <c r="AT283" s="58"/>
    </row>
    <row r="284" spans="2:46" customFormat="1" ht="43.2" x14ac:dyDescent="0.3">
      <c r="B284" s="10" t="s">
        <v>607</v>
      </c>
      <c r="C284" s="61"/>
      <c r="D284" s="8" t="s">
        <v>320</v>
      </c>
      <c r="E284" s="8" t="s">
        <v>320</v>
      </c>
      <c r="F284" s="8" t="s">
        <v>547</v>
      </c>
      <c r="G284" s="8" t="s">
        <v>326</v>
      </c>
      <c r="H284" s="47" t="s">
        <v>577</v>
      </c>
      <c r="I284" s="2"/>
      <c r="J284" s="4">
        <v>-24</v>
      </c>
      <c r="K284" s="4" t="s">
        <v>169</v>
      </c>
      <c r="L284" s="5">
        <v>1.1000000000000001E-3</v>
      </c>
      <c r="M284" s="2"/>
      <c r="N284" s="22">
        <v>-24</v>
      </c>
      <c r="O284" s="22">
        <v>-24.044</v>
      </c>
      <c r="P284" s="22">
        <v>-24.042999999999999</v>
      </c>
      <c r="Q284" s="27">
        <f t="shared" si="120"/>
        <v>1.8333333333333535E-3</v>
      </c>
      <c r="R284" s="27">
        <f t="shared" si="121"/>
        <v>1.7916666666666359E-3</v>
      </c>
      <c r="S284" s="46" t="s">
        <v>575</v>
      </c>
      <c r="T284" s="23"/>
      <c r="U284" s="11"/>
      <c r="V284" s="22">
        <v>-24</v>
      </c>
      <c r="W284" s="22">
        <v>-24.018000000000001</v>
      </c>
      <c r="X284" s="22">
        <v>-24.016999999999999</v>
      </c>
      <c r="Y284" s="27">
        <f t="shared" si="122"/>
        <v>7.5000000000002842E-4</v>
      </c>
      <c r="Z284" s="27">
        <f t="shared" si="123"/>
        <v>7.0833333333331083E-4</v>
      </c>
      <c r="AA284" s="46" t="s">
        <v>576</v>
      </c>
      <c r="AB284" s="23"/>
      <c r="AC284" s="11"/>
      <c r="AD284" s="22">
        <v>-24</v>
      </c>
      <c r="AE284" s="22">
        <v>-24.018000000000001</v>
      </c>
      <c r="AF284" s="22">
        <v>-24.016999999999999</v>
      </c>
      <c r="AG284" s="27">
        <f t="shared" si="124"/>
        <v>7.5000000000002842E-4</v>
      </c>
      <c r="AH284" s="27">
        <f t="shared" si="125"/>
        <v>7.0833333333331083E-4</v>
      </c>
      <c r="AI284" s="46" t="s">
        <v>576</v>
      </c>
      <c r="AJ284" s="23"/>
      <c r="AK284" s="11"/>
      <c r="AL284" s="22"/>
      <c r="AM284" s="22"/>
      <c r="AN284" s="22"/>
      <c r="AO284" s="27"/>
      <c r="AP284" s="27"/>
      <c r="AQ284" s="23"/>
      <c r="AR284" s="23" t="s">
        <v>685</v>
      </c>
      <c r="AS284" s="11"/>
      <c r="AT284" s="58"/>
    </row>
    <row r="285" spans="2:46" customFormat="1" ht="43.2" x14ac:dyDescent="0.3">
      <c r="B285" s="10" t="s">
        <v>608</v>
      </c>
      <c r="C285" s="61"/>
      <c r="D285" s="8" t="s">
        <v>320</v>
      </c>
      <c r="E285" s="8" t="s">
        <v>320</v>
      </c>
      <c r="F285" s="8" t="s">
        <v>547</v>
      </c>
      <c r="G285" s="8" t="s">
        <v>328</v>
      </c>
      <c r="H285" s="47" t="s">
        <v>577</v>
      </c>
      <c r="I285" s="2"/>
      <c r="J285" s="4">
        <v>-24</v>
      </c>
      <c r="K285" s="4" t="s">
        <v>169</v>
      </c>
      <c r="L285" s="5">
        <v>1.1000000000000001E-3</v>
      </c>
      <c r="M285" s="2"/>
      <c r="N285" s="22">
        <v>-24</v>
      </c>
      <c r="O285" s="22">
        <v>-24.044</v>
      </c>
      <c r="P285" s="22">
        <v>-24.042999999999999</v>
      </c>
      <c r="Q285" s="27">
        <f t="shared" si="120"/>
        <v>1.8333333333333535E-3</v>
      </c>
      <c r="R285" s="27">
        <f t="shared" si="121"/>
        <v>1.7916666666666359E-3</v>
      </c>
      <c r="S285" s="46" t="s">
        <v>575</v>
      </c>
      <c r="T285" s="23"/>
      <c r="U285" s="11"/>
      <c r="V285" s="22">
        <v>-24</v>
      </c>
      <c r="W285" s="22">
        <v>-24.016999999999999</v>
      </c>
      <c r="X285" s="22">
        <v>-24.015999999999998</v>
      </c>
      <c r="Y285" s="27">
        <f t="shared" si="122"/>
        <v>7.0833333333331083E-4</v>
      </c>
      <c r="Z285" s="27">
        <f t="shared" si="123"/>
        <v>6.6666666666659324E-4</v>
      </c>
      <c r="AA285" s="46" t="s">
        <v>576</v>
      </c>
      <c r="AB285" s="23"/>
      <c r="AC285" s="11"/>
      <c r="AD285" s="22">
        <v>-24</v>
      </c>
      <c r="AE285" s="22">
        <v>-24.016999999999999</v>
      </c>
      <c r="AF285" s="22">
        <v>-24.015999999999998</v>
      </c>
      <c r="AG285" s="27">
        <f t="shared" si="124"/>
        <v>7.0833333333331083E-4</v>
      </c>
      <c r="AH285" s="27">
        <f t="shared" si="125"/>
        <v>6.6666666666659324E-4</v>
      </c>
      <c r="AI285" s="46" t="s">
        <v>576</v>
      </c>
      <c r="AJ285" s="23"/>
      <c r="AK285" s="11"/>
      <c r="AL285" s="22"/>
      <c r="AM285" s="22"/>
      <c r="AN285" s="22"/>
      <c r="AO285" s="27"/>
      <c r="AP285" s="27"/>
      <c r="AQ285" s="23"/>
      <c r="AR285" s="23" t="s">
        <v>685</v>
      </c>
      <c r="AS285" s="11"/>
      <c r="AT285" s="58"/>
    </row>
    <row r="286" spans="2:46" customFormat="1" ht="43.2" x14ac:dyDescent="0.3">
      <c r="B286" s="10" t="s">
        <v>609</v>
      </c>
      <c r="C286" s="61"/>
      <c r="D286" s="8" t="s">
        <v>320</v>
      </c>
      <c r="E286" s="8" t="s">
        <v>320</v>
      </c>
      <c r="F286" s="8" t="s">
        <v>547</v>
      </c>
      <c r="G286" s="8" t="s">
        <v>330</v>
      </c>
      <c r="H286" s="47" t="s">
        <v>577</v>
      </c>
      <c r="I286" s="2"/>
      <c r="J286" s="4">
        <v>-24</v>
      </c>
      <c r="K286" s="4" t="s">
        <v>169</v>
      </c>
      <c r="L286" s="5">
        <v>1.1000000000000001E-3</v>
      </c>
      <c r="M286" s="2"/>
      <c r="N286" s="22">
        <v>-24</v>
      </c>
      <c r="O286" s="22">
        <v>-24.045999999999999</v>
      </c>
      <c r="P286" s="22">
        <v>-24.044</v>
      </c>
      <c r="Q286" s="27">
        <f t="shared" si="120"/>
        <v>1.9166666666666405E-3</v>
      </c>
      <c r="R286" s="27">
        <f t="shared" si="121"/>
        <v>1.8333333333333535E-3</v>
      </c>
      <c r="S286" s="46" t="s">
        <v>575</v>
      </c>
      <c r="T286" s="23"/>
      <c r="U286" s="11"/>
      <c r="V286" s="22">
        <v>-24</v>
      </c>
      <c r="W286" s="22">
        <v>-24.016999999999999</v>
      </c>
      <c r="X286" s="22">
        <v>-24.016999999999999</v>
      </c>
      <c r="Y286" s="27">
        <f t="shared" si="122"/>
        <v>7.0833333333331083E-4</v>
      </c>
      <c r="Z286" s="27">
        <f t="shared" si="123"/>
        <v>7.0833333333331083E-4</v>
      </c>
      <c r="AA286" s="46" t="s">
        <v>576</v>
      </c>
      <c r="AB286" s="23"/>
      <c r="AC286" s="11"/>
      <c r="AD286" s="22">
        <v>-24</v>
      </c>
      <c r="AE286" s="22">
        <v>-24.016999999999999</v>
      </c>
      <c r="AF286" s="22">
        <v>-24.016999999999999</v>
      </c>
      <c r="AG286" s="27">
        <f t="shared" si="124"/>
        <v>7.0833333333331083E-4</v>
      </c>
      <c r="AH286" s="27">
        <f t="shared" si="125"/>
        <v>7.0833333333331083E-4</v>
      </c>
      <c r="AI286" s="46" t="s">
        <v>576</v>
      </c>
      <c r="AJ286" s="23"/>
      <c r="AK286" s="11"/>
      <c r="AL286" s="22"/>
      <c r="AM286" s="22"/>
      <c r="AN286" s="22"/>
      <c r="AO286" s="27"/>
      <c r="AP286" s="27"/>
      <c r="AQ286" s="23"/>
      <c r="AR286" s="23" t="s">
        <v>685</v>
      </c>
      <c r="AS286" s="11"/>
      <c r="AT286" s="58"/>
    </row>
    <row r="287" spans="2:46" customFormat="1" ht="43.2" x14ac:dyDescent="0.3">
      <c r="B287" s="10" t="s">
        <v>610</v>
      </c>
      <c r="C287" s="61"/>
      <c r="D287" s="8" t="s">
        <v>320</v>
      </c>
      <c r="E287" s="8" t="s">
        <v>320</v>
      </c>
      <c r="F287" s="8" t="s">
        <v>547</v>
      </c>
      <c r="G287" s="8" t="s">
        <v>332</v>
      </c>
      <c r="H287" s="47" t="s">
        <v>577</v>
      </c>
      <c r="I287" s="2"/>
      <c r="J287" s="4">
        <v>-24</v>
      </c>
      <c r="K287" s="4" t="s">
        <v>169</v>
      </c>
      <c r="L287" s="5">
        <v>1.1000000000000001E-3</v>
      </c>
      <c r="M287" s="2"/>
      <c r="N287" s="22">
        <v>-24</v>
      </c>
      <c r="O287" s="22">
        <v>-24.047000000000001</v>
      </c>
      <c r="P287" s="22">
        <v>-24.045000000000002</v>
      </c>
      <c r="Q287" s="27">
        <f t="shared" si="120"/>
        <v>1.9583333333333583E-3</v>
      </c>
      <c r="R287" s="27">
        <f t="shared" si="121"/>
        <v>1.8750000000000711E-3</v>
      </c>
      <c r="S287" s="46" t="s">
        <v>575</v>
      </c>
      <c r="T287" s="23"/>
      <c r="U287" s="11"/>
      <c r="V287" s="22">
        <v>-24</v>
      </c>
      <c r="W287" s="22">
        <v>-24.018000000000001</v>
      </c>
      <c r="X287" s="22">
        <v>-24.013000000000002</v>
      </c>
      <c r="Y287" s="27">
        <f t="shared" si="122"/>
        <v>7.5000000000002842E-4</v>
      </c>
      <c r="Z287" s="27">
        <f t="shared" si="123"/>
        <v>5.4166666666673657E-4</v>
      </c>
      <c r="AA287" s="46" t="s">
        <v>576</v>
      </c>
      <c r="AB287" s="23"/>
      <c r="AC287" s="11"/>
      <c r="AD287" s="22">
        <v>-24</v>
      </c>
      <c r="AE287" s="22">
        <v>-24.018000000000001</v>
      </c>
      <c r="AF287" s="22">
        <v>-24.013000000000002</v>
      </c>
      <c r="AG287" s="27">
        <f t="shared" si="124"/>
        <v>7.5000000000002842E-4</v>
      </c>
      <c r="AH287" s="27">
        <f t="shared" si="125"/>
        <v>5.4166666666673657E-4</v>
      </c>
      <c r="AI287" s="46" t="s">
        <v>576</v>
      </c>
      <c r="AJ287" s="23"/>
      <c r="AK287" s="11"/>
      <c r="AL287" s="22"/>
      <c r="AM287" s="22"/>
      <c r="AN287" s="22"/>
      <c r="AO287" s="27"/>
      <c r="AP287" s="27"/>
      <c r="AQ287" s="23"/>
      <c r="AR287" s="23" t="s">
        <v>685</v>
      </c>
      <c r="AS287" s="11"/>
      <c r="AT287" s="58"/>
    </row>
    <row r="288" spans="2:46" customFormat="1" ht="43.2" x14ac:dyDescent="0.3">
      <c r="B288" s="10" t="s">
        <v>611</v>
      </c>
      <c r="C288" s="61"/>
      <c r="D288" s="8" t="s">
        <v>320</v>
      </c>
      <c r="E288" s="8" t="s">
        <v>320</v>
      </c>
      <c r="F288" s="8" t="s">
        <v>547</v>
      </c>
      <c r="G288" s="8" t="s">
        <v>334</v>
      </c>
      <c r="H288" s="47" t="s">
        <v>577</v>
      </c>
      <c r="I288" s="2"/>
      <c r="J288" s="4">
        <v>-24</v>
      </c>
      <c r="K288" s="4" t="s">
        <v>169</v>
      </c>
      <c r="L288" s="5">
        <v>1.1000000000000001E-3</v>
      </c>
      <c r="M288" s="2"/>
      <c r="N288" s="22">
        <v>-24</v>
      </c>
      <c r="O288" s="22">
        <v>-24.042999999999999</v>
      </c>
      <c r="P288" s="22">
        <v>-24.045999999999999</v>
      </c>
      <c r="Q288" s="27">
        <f t="shared" si="120"/>
        <v>1.7916666666666359E-3</v>
      </c>
      <c r="R288" s="27">
        <f t="shared" si="121"/>
        <v>1.9166666666666405E-3</v>
      </c>
      <c r="S288" s="46" t="s">
        <v>575</v>
      </c>
      <c r="T288" s="23"/>
      <c r="U288" s="11"/>
      <c r="V288" s="22">
        <v>-24</v>
      </c>
      <c r="W288" s="22">
        <v>-24.015000000000001</v>
      </c>
      <c r="X288" s="22">
        <v>-24.009</v>
      </c>
      <c r="Y288" s="27">
        <f t="shared" si="122"/>
        <v>6.2500000000002365E-4</v>
      </c>
      <c r="Z288" s="27">
        <f t="shared" si="123"/>
        <v>3.7500000000001421E-4</v>
      </c>
      <c r="AA288" s="46" t="s">
        <v>576</v>
      </c>
      <c r="AB288" s="23"/>
      <c r="AC288" s="11"/>
      <c r="AD288" s="22">
        <v>-24</v>
      </c>
      <c r="AE288" s="22">
        <v>-24.015000000000001</v>
      </c>
      <c r="AF288" s="22">
        <v>-24.009</v>
      </c>
      <c r="AG288" s="27">
        <f t="shared" si="124"/>
        <v>6.2500000000002365E-4</v>
      </c>
      <c r="AH288" s="27">
        <f t="shared" si="125"/>
        <v>3.7500000000001421E-4</v>
      </c>
      <c r="AI288" s="46" t="s">
        <v>576</v>
      </c>
      <c r="AJ288" s="23"/>
      <c r="AK288" s="11"/>
      <c r="AL288" s="22"/>
      <c r="AM288" s="22"/>
      <c r="AN288" s="22"/>
      <c r="AO288" s="27"/>
      <c r="AP288" s="27"/>
      <c r="AQ288" s="23"/>
      <c r="AR288" s="23" t="s">
        <v>685</v>
      </c>
      <c r="AS288" s="11"/>
      <c r="AT288" s="58"/>
    </row>
    <row r="289" spans="2:46" customFormat="1" ht="43.2" x14ac:dyDescent="0.3">
      <c r="B289" s="10" t="s">
        <v>612</v>
      </c>
      <c r="C289" s="61"/>
      <c r="D289" s="8" t="s">
        <v>320</v>
      </c>
      <c r="E289" s="8" t="s">
        <v>320</v>
      </c>
      <c r="F289" s="8" t="s">
        <v>547</v>
      </c>
      <c r="G289" s="8" t="s">
        <v>336</v>
      </c>
      <c r="H289" s="47" t="s">
        <v>577</v>
      </c>
      <c r="I289" s="2"/>
      <c r="J289" s="4">
        <v>-24</v>
      </c>
      <c r="K289" s="4" t="s">
        <v>169</v>
      </c>
      <c r="L289" s="5">
        <v>1.1000000000000001E-3</v>
      </c>
      <c r="M289" s="2"/>
      <c r="N289" s="22">
        <v>-24</v>
      </c>
      <c r="O289" s="22">
        <v>-24.045999999999999</v>
      </c>
      <c r="P289" s="22">
        <v>-24.045000000000002</v>
      </c>
      <c r="Q289" s="27">
        <f t="shared" si="120"/>
        <v>1.9166666666666405E-3</v>
      </c>
      <c r="R289" s="27">
        <f t="shared" si="121"/>
        <v>1.8750000000000711E-3</v>
      </c>
      <c r="S289" s="46" t="s">
        <v>575</v>
      </c>
      <c r="T289" s="23"/>
      <c r="U289" s="11"/>
      <c r="V289" s="22">
        <v>-24</v>
      </c>
      <c r="W289" s="22">
        <v>-24.013999999999999</v>
      </c>
      <c r="X289" s="22">
        <v>-24.013000000000002</v>
      </c>
      <c r="Y289" s="27">
        <f t="shared" si="122"/>
        <v>5.8333333333330606E-4</v>
      </c>
      <c r="Z289" s="27">
        <f t="shared" si="123"/>
        <v>5.4166666666673657E-4</v>
      </c>
      <c r="AA289" s="46" t="s">
        <v>576</v>
      </c>
      <c r="AB289" s="23"/>
      <c r="AC289" s="11"/>
      <c r="AD289" s="22">
        <v>-24</v>
      </c>
      <c r="AE289" s="22">
        <v>-24.013999999999999</v>
      </c>
      <c r="AF289" s="22">
        <v>-24.013000000000002</v>
      </c>
      <c r="AG289" s="27">
        <f t="shared" si="124"/>
        <v>5.8333333333330606E-4</v>
      </c>
      <c r="AH289" s="27">
        <f t="shared" si="125"/>
        <v>5.4166666666673657E-4</v>
      </c>
      <c r="AI289" s="46" t="s">
        <v>576</v>
      </c>
      <c r="AJ289" s="23"/>
      <c r="AK289" s="11"/>
      <c r="AL289" s="22"/>
      <c r="AM289" s="22"/>
      <c r="AN289" s="22"/>
      <c r="AO289" s="27"/>
      <c r="AP289" s="27"/>
      <c r="AQ289" s="23"/>
      <c r="AR289" s="23" t="s">
        <v>685</v>
      </c>
      <c r="AS289" s="11"/>
      <c r="AT289" s="58"/>
    </row>
    <row r="290" spans="2:46" customFormat="1" ht="43.2" x14ac:dyDescent="0.3">
      <c r="B290" s="10" t="s">
        <v>613</v>
      </c>
      <c r="C290" s="61"/>
      <c r="D290" s="8" t="s">
        <v>320</v>
      </c>
      <c r="E290" s="8" t="s">
        <v>320</v>
      </c>
      <c r="F290" s="8" t="s">
        <v>547</v>
      </c>
      <c r="G290" s="8" t="s">
        <v>338</v>
      </c>
      <c r="H290" s="47" t="s">
        <v>577</v>
      </c>
      <c r="I290" s="2"/>
      <c r="J290" s="4">
        <v>-24</v>
      </c>
      <c r="K290" s="4" t="s">
        <v>169</v>
      </c>
      <c r="L290" s="5">
        <v>1.1000000000000001E-3</v>
      </c>
      <c r="M290" s="2"/>
      <c r="N290" s="22">
        <v>-24</v>
      </c>
      <c r="O290" s="22">
        <v>-24.045999999999999</v>
      </c>
      <c r="P290" s="22">
        <v>-24.045000000000002</v>
      </c>
      <c r="Q290" s="27">
        <f>(O290-N290)/N290</f>
        <v>1.9166666666666405E-3</v>
      </c>
      <c r="R290" s="27">
        <f>(P290-N290)/N290</f>
        <v>1.8750000000000711E-3</v>
      </c>
      <c r="S290" s="46" t="s">
        <v>575</v>
      </c>
      <c r="T290" s="23"/>
      <c r="U290" s="11"/>
      <c r="V290" s="22">
        <v>-24</v>
      </c>
      <c r="W290" s="22">
        <v>-24.013999999999999</v>
      </c>
      <c r="X290" s="22">
        <v>-24.013000000000002</v>
      </c>
      <c r="Y290" s="27">
        <f>(W290-V290)/V290</f>
        <v>5.8333333333330606E-4</v>
      </c>
      <c r="Z290" s="27">
        <f t="shared" si="123"/>
        <v>5.4166666666673657E-4</v>
      </c>
      <c r="AA290" s="46" t="s">
        <v>576</v>
      </c>
      <c r="AB290" s="23"/>
      <c r="AC290" s="11"/>
      <c r="AD290" s="22">
        <v>-24</v>
      </c>
      <c r="AE290" s="22">
        <v>-24.013999999999999</v>
      </c>
      <c r="AF290" s="22">
        <v>-24.013000000000002</v>
      </c>
      <c r="AG290" s="27">
        <f>(AE290-AD290)/AD290</f>
        <v>5.8333333333330606E-4</v>
      </c>
      <c r="AH290" s="27">
        <f t="shared" si="125"/>
        <v>5.4166666666673657E-4</v>
      </c>
      <c r="AI290" s="46" t="s">
        <v>576</v>
      </c>
      <c r="AJ290" s="23"/>
      <c r="AK290" s="11"/>
      <c r="AL290" s="22"/>
      <c r="AM290" s="22"/>
      <c r="AN290" s="22"/>
      <c r="AO290" s="27"/>
      <c r="AP290" s="27"/>
      <c r="AQ290" s="23"/>
      <c r="AR290" s="23" t="s">
        <v>685</v>
      </c>
      <c r="AS290" s="11"/>
      <c r="AT290" s="59"/>
    </row>
    <row r="291" spans="2:46" customFormat="1" ht="28.8" x14ac:dyDescent="0.3">
      <c r="B291" s="10"/>
      <c r="C291" s="61"/>
      <c r="D291" s="8" t="s">
        <v>320</v>
      </c>
      <c r="E291" s="8" t="s">
        <v>320</v>
      </c>
      <c r="F291" s="8" t="s">
        <v>686</v>
      </c>
      <c r="G291" s="8" t="s">
        <v>323</v>
      </c>
      <c r="H291" s="47"/>
      <c r="I291" s="2"/>
      <c r="J291" s="4">
        <v>35</v>
      </c>
      <c r="K291" s="4" t="s">
        <v>169</v>
      </c>
      <c r="L291" s="5">
        <v>1.07E-3</v>
      </c>
      <c r="M291" s="2"/>
      <c r="N291" s="22"/>
      <c r="O291" s="22"/>
      <c r="P291" s="22"/>
      <c r="Q291" s="27"/>
      <c r="R291" s="27"/>
      <c r="S291" s="46"/>
      <c r="T291" s="23"/>
      <c r="U291" s="11"/>
      <c r="V291" s="22"/>
      <c r="W291" s="22"/>
      <c r="X291" s="22"/>
      <c r="Y291" s="27"/>
      <c r="Z291" s="27"/>
      <c r="AA291" s="46"/>
      <c r="AB291" s="23"/>
      <c r="AC291" s="11"/>
      <c r="AD291" s="22"/>
      <c r="AE291" s="22"/>
      <c r="AF291" s="22"/>
      <c r="AG291" s="27"/>
      <c r="AH291" s="27"/>
      <c r="AI291" s="46"/>
      <c r="AJ291" s="23"/>
      <c r="AK291" s="11"/>
      <c r="AL291" s="22">
        <v>35</v>
      </c>
      <c r="AM291" s="22">
        <v>34.978999999999999</v>
      </c>
      <c r="AN291" s="22">
        <v>34.99</v>
      </c>
      <c r="AO291" s="27">
        <f t="shared" ref="AO291" si="128">(AM291-AL291)/AL291</f>
        <v>-6.0000000000002272E-4</v>
      </c>
      <c r="AP291" s="27">
        <f t="shared" ref="AP291" si="129">(AN291-AL291)/AL291</f>
        <v>-2.8571428571422887E-4</v>
      </c>
      <c r="AQ291" s="38" t="s">
        <v>26</v>
      </c>
      <c r="AR291" s="22">
        <f>MIN(AM291:AN298)</f>
        <v>34.976999999999997</v>
      </c>
      <c r="AS291" s="11"/>
      <c r="AT291" s="49"/>
    </row>
    <row r="292" spans="2:46" customFormat="1" ht="28.8" x14ac:dyDescent="0.3">
      <c r="B292" s="10"/>
      <c r="C292" s="61"/>
      <c r="D292" s="8" t="s">
        <v>320</v>
      </c>
      <c r="E292" s="8" t="s">
        <v>320</v>
      </c>
      <c r="F292" s="8" t="s">
        <v>686</v>
      </c>
      <c r="G292" s="8" t="s">
        <v>325</v>
      </c>
      <c r="H292" s="47"/>
      <c r="I292" s="2"/>
      <c r="J292" s="4">
        <v>35</v>
      </c>
      <c r="K292" s="4" t="s">
        <v>169</v>
      </c>
      <c r="L292" s="5">
        <v>1.07E-3</v>
      </c>
      <c r="M292" s="2"/>
      <c r="N292" s="22"/>
      <c r="O292" s="22"/>
      <c r="P292" s="22"/>
      <c r="Q292" s="27"/>
      <c r="R292" s="27"/>
      <c r="S292" s="46"/>
      <c r="T292" s="23"/>
      <c r="U292" s="11"/>
      <c r="V292" s="22"/>
      <c r="W292" s="22"/>
      <c r="X292" s="22"/>
      <c r="Y292" s="27"/>
      <c r="Z292" s="27"/>
      <c r="AA292" s="46"/>
      <c r="AB292" s="23"/>
      <c r="AC292" s="11"/>
      <c r="AD292" s="22"/>
      <c r="AE292" s="22"/>
      <c r="AF292" s="22"/>
      <c r="AG292" s="27"/>
      <c r="AH292" s="27"/>
      <c r="AI292" s="46"/>
      <c r="AJ292" s="23"/>
      <c r="AK292" s="11"/>
      <c r="AL292" s="22">
        <v>35</v>
      </c>
      <c r="AM292" s="22">
        <v>34.981999999999999</v>
      </c>
      <c r="AN292" s="22">
        <v>34.993000000000002</v>
      </c>
      <c r="AO292" s="27">
        <f t="shared" ref="AO292:AO298" si="130">(AM292-AL292)/AL292</f>
        <v>-5.1428571428573382E-4</v>
      </c>
      <c r="AP292" s="27">
        <f t="shared" ref="AP292:AP298" si="131">(AN292-AL292)/AL292</f>
        <v>-1.9999999999993992E-4</v>
      </c>
      <c r="AQ292" s="38" t="s">
        <v>26</v>
      </c>
      <c r="AR292" s="22">
        <f>MAX(AM291:AN298)</f>
        <v>35.04</v>
      </c>
      <c r="AS292" s="11"/>
      <c r="AT292" s="49"/>
    </row>
    <row r="293" spans="2:46" customFormat="1" ht="28.8" x14ac:dyDescent="0.3">
      <c r="B293" s="10"/>
      <c r="C293" s="61"/>
      <c r="D293" s="8" t="s">
        <v>320</v>
      </c>
      <c r="E293" s="8" t="s">
        <v>320</v>
      </c>
      <c r="F293" s="8" t="s">
        <v>686</v>
      </c>
      <c r="G293" s="8" t="s">
        <v>327</v>
      </c>
      <c r="H293" s="47"/>
      <c r="I293" s="2"/>
      <c r="J293" s="4">
        <v>35</v>
      </c>
      <c r="K293" s="4" t="s">
        <v>169</v>
      </c>
      <c r="L293" s="5">
        <v>1.07E-3</v>
      </c>
      <c r="M293" s="2"/>
      <c r="N293" s="22"/>
      <c r="O293" s="22"/>
      <c r="P293" s="22"/>
      <c r="Q293" s="27"/>
      <c r="R293" s="27"/>
      <c r="S293" s="46"/>
      <c r="T293" s="23"/>
      <c r="U293" s="11"/>
      <c r="V293" s="22"/>
      <c r="W293" s="22"/>
      <c r="X293" s="22"/>
      <c r="Y293" s="27"/>
      <c r="Z293" s="27"/>
      <c r="AA293" s="46"/>
      <c r="AB293" s="23"/>
      <c r="AC293" s="11"/>
      <c r="AD293" s="22"/>
      <c r="AE293" s="22"/>
      <c r="AF293" s="22"/>
      <c r="AG293" s="27"/>
      <c r="AH293" s="27"/>
      <c r="AI293" s="46"/>
      <c r="AJ293" s="23"/>
      <c r="AK293" s="11"/>
      <c r="AL293" s="22">
        <v>35</v>
      </c>
      <c r="AM293" s="22">
        <v>35.009</v>
      </c>
      <c r="AN293" s="22">
        <v>35.020000000000003</v>
      </c>
      <c r="AO293" s="27">
        <f t="shared" si="130"/>
        <v>2.5714285714286691E-4</v>
      </c>
      <c r="AP293" s="27">
        <f t="shared" si="131"/>
        <v>5.714285714286607E-4</v>
      </c>
      <c r="AQ293" s="38" t="s">
        <v>26</v>
      </c>
      <c r="AR293" s="23"/>
      <c r="AS293" s="11"/>
      <c r="AT293" s="49"/>
    </row>
    <row r="294" spans="2:46" customFormat="1" ht="28.8" x14ac:dyDescent="0.3">
      <c r="B294" s="10"/>
      <c r="C294" s="61"/>
      <c r="D294" s="8" t="s">
        <v>320</v>
      </c>
      <c r="E294" s="8" t="s">
        <v>320</v>
      </c>
      <c r="F294" s="8" t="s">
        <v>686</v>
      </c>
      <c r="G294" s="8" t="s">
        <v>329</v>
      </c>
      <c r="H294" s="47"/>
      <c r="I294" s="2"/>
      <c r="J294" s="4">
        <v>35</v>
      </c>
      <c r="K294" s="4" t="s">
        <v>169</v>
      </c>
      <c r="L294" s="5">
        <v>1.07E-3</v>
      </c>
      <c r="M294" s="2"/>
      <c r="N294" s="22"/>
      <c r="O294" s="22"/>
      <c r="P294" s="22"/>
      <c r="Q294" s="27"/>
      <c r="R294" s="27"/>
      <c r="S294" s="46"/>
      <c r="T294" s="23"/>
      <c r="U294" s="11"/>
      <c r="V294" s="22"/>
      <c r="W294" s="22"/>
      <c r="X294" s="22"/>
      <c r="Y294" s="27"/>
      <c r="Z294" s="27"/>
      <c r="AA294" s="46"/>
      <c r="AB294" s="23"/>
      <c r="AC294" s="11"/>
      <c r="AD294" s="22"/>
      <c r="AE294" s="22"/>
      <c r="AF294" s="22"/>
      <c r="AG294" s="27"/>
      <c r="AH294" s="27"/>
      <c r="AI294" s="46"/>
      <c r="AJ294" s="23"/>
      <c r="AK294" s="11"/>
      <c r="AL294" s="22">
        <v>35</v>
      </c>
      <c r="AM294" s="22">
        <v>35.029000000000003</v>
      </c>
      <c r="AN294" s="22">
        <v>35.04</v>
      </c>
      <c r="AO294" s="27">
        <f t="shared" si="130"/>
        <v>8.2857142857152761E-4</v>
      </c>
      <c r="AP294" s="27">
        <f t="shared" si="131"/>
        <v>1.1428571428571184E-3</v>
      </c>
      <c r="AQ294" s="38" t="s">
        <v>26</v>
      </c>
      <c r="AR294" s="23"/>
      <c r="AS294" s="11"/>
      <c r="AT294" s="49"/>
    </row>
    <row r="295" spans="2:46" customFormat="1" ht="28.8" x14ac:dyDescent="0.3">
      <c r="B295" s="10"/>
      <c r="C295" s="61"/>
      <c r="D295" s="8" t="s">
        <v>320</v>
      </c>
      <c r="E295" s="8" t="s">
        <v>320</v>
      </c>
      <c r="F295" s="8" t="s">
        <v>686</v>
      </c>
      <c r="G295" s="8" t="s">
        <v>331</v>
      </c>
      <c r="H295" s="47"/>
      <c r="I295" s="2"/>
      <c r="J295" s="4">
        <v>35</v>
      </c>
      <c r="K295" s="4" t="s">
        <v>169</v>
      </c>
      <c r="L295" s="5">
        <v>1.07E-3</v>
      </c>
      <c r="M295" s="2"/>
      <c r="N295" s="22"/>
      <c r="O295" s="22"/>
      <c r="P295" s="22"/>
      <c r="Q295" s="27"/>
      <c r="R295" s="27"/>
      <c r="S295" s="46"/>
      <c r="T295" s="23"/>
      <c r="U295" s="11"/>
      <c r="V295" s="22"/>
      <c r="W295" s="22"/>
      <c r="X295" s="22"/>
      <c r="Y295" s="27"/>
      <c r="Z295" s="27"/>
      <c r="AA295" s="46"/>
      <c r="AB295" s="23"/>
      <c r="AC295" s="11"/>
      <c r="AD295" s="22"/>
      <c r="AE295" s="22"/>
      <c r="AF295" s="22"/>
      <c r="AG295" s="27"/>
      <c r="AH295" s="27"/>
      <c r="AI295" s="46"/>
      <c r="AJ295" s="23"/>
      <c r="AK295" s="11"/>
      <c r="AL295" s="22">
        <v>35</v>
      </c>
      <c r="AM295" s="22">
        <v>34.981000000000002</v>
      </c>
      <c r="AN295" s="22">
        <v>34.991999999999997</v>
      </c>
      <c r="AO295" s="27">
        <f t="shared" si="130"/>
        <v>-5.4285714285709572E-4</v>
      </c>
      <c r="AP295" s="27">
        <f t="shared" si="131"/>
        <v>-2.2857142857150489E-4</v>
      </c>
      <c r="AQ295" s="38" t="s">
        <v>26</v>
      </c>
      <c r="AR295" s="23"/>
      <c r="AS295" s="11"/>
      <c r="AT295" s="49"/>
    </row>
    <row r="296" spans="2:46" customFormat="1" ht="28.8" x14ac:dyDescent="0.3">
      <c r="B296" s="10"/>
      <c r="C296" s="61"/>
      <c r="D296" s="8" t="s">
        <v>320</v>
      </c>
      <c r="E296" s="8" t="s">
        <v>320</v>
      </c>
      <c r="F296" s="8" t="s">
        <v>686</v>
      </c>
      <c r="G296" s="8" t="s">
        <v>333</v>
      </c>
      <c r="H296" s="47"/>
      <c r="I296" s="2"/>
      <c r="J296" s="4">
        <v>35</v>
      </c>
      <c r="K296" s="4" t="s">
        <v>169</v>
      </c>
      <c r="L296" s="5">
        <v>1.07E-3</v>
      </c>
      <c r="M296" s="2"/>
      <c r="N296" s="22"/>
      <c r="O296" s="22"/>
      <c r="P296" s="22"/>
      <c r="Q296" s="27"/>
      <c r="R296" s="27"/>
      <c r="S296" s="46"/>
      <c r="T296" s="23"/>
      <c r="U296" s="11"/>
      <c r="V296" s="22"/>
      <c r="W296" s="22"/>
      <c r="X296" s="22"/>
      <c r="Y296" s="27"/>
      <c r="Z296" s="27"/>
      <c r="AA296" s="46"/>
      <c r="AB296" s="23"/>
      <c r="AC296" s="11"/>
      <c r="AD296" s="22"/>
      <c r="AE296" s="22"/>
      <c r="AF296" s="22"/>
      <c r="AG296" s="27"/>
      <c r="AH296" s="27"/>
      <c r="AI296" s="46"/>
      <c r="AJ296" s="23"/>
      <c r="AK296" s="11"/>
      <c r="AL296" s="22">
        <v>35</v>
      </c>
      <c r="AM296" s="22">
        <v>35.029000000000003</v>
      </c>
      <c r="AN296" s="22">
        <v>35.039000000000001</v>
      </c>
      <c r="AO296" s="27">
        <f t="shared" si="130"/>
        <v>8.2857142857152761E-4</v>
      </c>
      <c r="AP296" s="27">
        <f t="shared" si="131"/>
        <v>1.1142857142857564E-3</v>
      </c>
      <c r="AQ296" s="38" t="s">
        <v>26</v>
      </c>
      <c r="AR296" s="23"/>
      <c r="AS296" s="11"/>
      <c r="AT296" s="49"/>
    </row>
    <row r="297" spans="2:46" customFormat="1" ht="28.8" x14ac:dyDescent="0.3">
      <c r="B297" s="10"/>
      <c r="C297" s="61"/>
      <c r="D297" s="8" t="s">
        <v>320</v>
      </c>
      <c r="E297" s="8" t="s">
        <v>320</v>
      </c>
      <c r="F297" s="8" t="s">
        <v>686</v>
      </c>
      <c r="G297" s="8" t="s">
        <v>335</v>
      </c>
      <c r="H297" s="47"/>
      <c r="I297" s="2"/>
      <c r="J297" s="4">
        <v>35</v>
      </c>
      <c r="K297" s="4" t="s">
        <v>169</v>
      </c>
      <c r="L297" s="5">
        <v>1.07E-3</v>
      </c>
      <c r="M297" s="2"/>
      <c r="N297" s="22"/>
      <c r="O297" s="22"/>
      <c r="P297" s="22"/>
      <c r="Q297" s="27"/>
      <c r="R297" s="27"/>
      <c r="S297" s="46"/>
      <c r="T297" s="23"/>
      <c r="U297" s="11"/>
      <c r="V297" s="22"/>
      <c r="W297" s="22"/>
      <c r="X297" s="22"/>
      <c r="Y297" s="27"/>
      <c r="Z297" s="27"/>
      <c r="AA297" s="46"/>
      <c r="AB297" s="23"/>
      <c r="AC297" s="11"/>
      <c r="AD297" s="22"/>
      <c r="AE297" s="22"/>
      <c r="AF297" s="22"/>
      <c r="AG297" s="27"/>
      <c r="AH297" s="27"/>
      <c r="AI297" s="46"/>
      <c r="AJ297" s="23"/>
      <c r="AK297" s="11"/>
      <c r="AL297" s="22">
        <v>35</v>
      </c>
      <c r="AM297" s="22">
        <v>34.976999999999997</v>
      </c>
      <c r="AN297" s="22">
        <v>34.987000000000002</v>
      </c>
      <c r="AO297" s="27">
        <f t="shared" si="130"/>
        <v>-6.5714285714294971E-4</v>
      </c>
      <c r="AP297" s="27">
        <f t="shared" si="131"/>
        <v>-3.7142857142851782E-4</v>
      </c>
      <c r="AQ297" s="38" t="s">
        <v>26</v>
      </c>
      <c r="AR297" s="23"/>
      <c r="AS297" s="11"/>
      <c r="AT297" s="49"/>
    </row>
    <row r="298" spans="2:46" customFormat="1" ht="28.8" x14ac:dyDescent="0.3">
      <c r="B298" s="10"/>
      <c r="C298" s="61"/>
      <c r="D298" s="8" t="s">
        <v>320</v>
      </c>
      <c r="E298" s="8" t="s">
        <v>320</v>
      </c>
      <c r="F298" s="8" t="s">
        <v>686</v>
      </c>
      <c r="G298" s="8" t="s">
        <v>337</v>
      </c>
      <c r="H298" s="47"/>
      <c r="I298" s="2"/>
      <c r="J298" s="4">
        <v>35</v>
      </c>
      <c r="K298" s="4" t="s">
        <v>169</v>
      </c>
      <c r="L298" s="5">
        <v>1.07E-3</v>
      </c>
      <c r="M298" s="2"/>
      <c r="N298" s="22"/>
      <c r="O298" s="22"/>
      <c r="P298" s="22"/>
      <c r="Q298" s="27"/>
      <c r="R298" s="27"/>
      <c r="S298" s="46"/>
      <c r="T298" s="23"/>
      <c r="U298" s="11"/>
      <c r="V298" s="22"/>
      <c r="W298" s="22"/>
      <c r="X298" s="22"/>
      <c r="Y298" s="27"/>
      <c r="Z298" s="27"/>
      <c r="AA298" s="46"/>
      <c r="AB298" s="23"/>
      <c r="AC298" s="11"/>
      <c r="AD298" s="22"/>
      <c r="AE298" s="22"/>
      <c r="AF298" s="22"/>
      <c r="AG298" s="27"/>
      <c r="AH298" s="27"/>
      <c r="AI298" s="46"/>
      <c r="AJ298" s="23"/>
      <c r="AK298" s="11"/>
      <c r="AL298" s="22">
        <v>35</v>
      </c>
      <c r="AM298" s="22">
        <v>35</v>
      </c>
      <c r="AN298" s="22">
        <v>35.01</v>
      </c>
      <c r="AO298" s="27">
        <f t="shared" si="130"/>
        <v>0</v>
      </c>
      <c r="AP298" s="27">
        <f t="shared" si="131"/>
        <v>2.8571428571422887E-4</v>
      </c>
      <c r="AQ298" s="38" t="s">
        <v>26</v>
      </c>
      <c r="AR298" s="23"/>
      <c r="AS298" s="11"/>
      <c r="AT298" s="49"/>
    </row>
    <row r="299" spans="2:46" customFormat="1" ht="28.8" x14ac:dyDescent="0.3">
      <c r="B299" s="10"/>
      <c r="C299" s="61"/>
      <c r="D299" s="8" t="s">
        <v>320</v>
      </c>
      <c r="E299" s="8" t="s">
        <v>320</v>
      </c>
      <c r="F299" s="8" t="s">
        <v>686</v>
      </c>
      <c r="G299" s="8" t="s">
        <v>323</v>
      </c>
      <c r="H299" s="47"/>
      <c r="I299" s="2"/>
      <c r="J299" s="4">
        <v>48</v>
      </c>
      <c r="K299" s="4" t="s">
        <v>169</v>
      </c>
      <c r="L299" s="5">
        <v>1.0499999999999999E-3</v>
      </c>
      <c r="M299" s="2"/>
      <c r="N299" s="22"/>
      <c r="O299" s="22"/>
      <c r="P299" s="22"/>
      <c r="Q299" s="27"/>
      <c r="R299" s="27"/>
      <c r="S299" s="46"/>
      <c r="T299" s="23"/>
      <c r="U299" s="11"/>
      <c r="V299" s="22"/>
      <c r="W299" s="22"/>
      <c r="X299" s="22"/>
      <c r="Y299" s="27"/>
      <c r="Z299" s="27"/>
      <c r="AA299" s="46"/>
      <c r="AB299" s="23"/>
      <c r="AC299" s="11"/>
      <c r="AD299" s="22"/>
      <c r="AE299" s="22"/>
      <c r="AF299" s="22"/>
      <c r="AG299" s="27"/>
      <c r="AH299" s="27"/>
      <c r="AI299" s="46"/>
      <c r="AJ299" s="23"/>
      <c r="AK299" s="11"/>
      <c r="AL299" s="22">
        <v>48</v>
      </c>
      <c r="AM299" s="22">
        <v>47.973999999999997</v>
      </c>
      <c r="AN299" s="22">
        <v>47.984999999999999</v>
      </c>
      <c r="AO299" s="27">
        <f t="shared" ref="AO299" si="132">(AM299-AL299)/AL299</f>
        <v>-5.4166666666673657E-4</v>
      </c>
      <c r="AP299" s="27">
        <f t="shared" ref="AP299" si="133">(AN299-AL299)/AL299</f>
        <v>-3.1250000000001182E-4</v>
      </c>
      <c r="AQ299" s="38" t="s">
        <v>26</v>
      </c>
      <c r="AR299" s="22">
        <f>MIN(AM299:AN306)</f>
        <v>47.970999999999997</v>
      </c>
      <c r="AS299" s="11"/>
      <c r="AT299" s="49"/>
    </row>
    <row r="300" spans="2:46" customFormat="1" ht="28.8" x14ac:dyDescent="0.3">
      <c r="B300" s="10"/>
      <c r="C300" s="61"/>
      <c r="D300" s="8" t="s">
        <v>320</v>
      </c>
      <c r="E300" s="8" t="s">
        <v>320</v>
      </c>
      <c r="F300" s="8" t="s">
        <v>686</v>
      </c>
      <c r="G300" s="8" t="s">
        <v>325</v>
      </c>
      <c r="H300" s="47"/>
      <c r="I300" s="2"/>
      <c r="J300" s="4">
        <v>48</v>
      </c>
      <c r="K300" s="4" t="s">
        <v>169</v>
      </c>
      <c r="L300" s="5">
        <v>1.0499999999999999E-3</v>
      </c>
      <c r="M300" s="2"/>
      <c r="N300" s="22"/>
      <c r="O300" s="22"/>
      <c r="P300" s="22"/>
      <c r="Q300" s="27"/>
      <c r="R300" s="27"/>
      <c r="S300" s="46"/>
      <c r="T300" s="23"/>
      <c r="U300" s="11"/>
      <c r="V300" s="22"/>
      <c r="W300" s="22"/>
      <c r="X300" s="22"/>
      <c r="Y300" s="27"/>
      <c r="Z300" s="27"/>
      <c r="AA300" s="46"/>
      <c r="AB300" s="23"/>
      <c r="AC300" s="11"/>
      <c r="AD300" s="22"/>
      <c r="AE300" s="22"/>
      <c r="AF300" s="22"/>
      <c r="AG300" s="27"/>
      <c r="AH300" s="27"/>
      <c r="AI300" s="46"/>
      <c r="AJ300" s="23"/>
      <c r="AK300" s="11"/>
      <c r="AL300" s="22">
        <v>48</v>
      </c>
      <c r="AM300" s="22">
        <v>47.978000000000002</v>
      </c>
      <c r="AN300" s="22">
        <v>47.99</v>
      </c>
      <c r="AO300" s="27">
        <f t="shared" ref="AO300:AO306" si="134">(AM300-AL300)/AL300</f>
        <v>-4.5833333333330134E-4</v>
      </c>
      <c r="AP300" s="27">
        <f t="shared" ref="AP300:AP306" si="135">(AN300-AL300)/AL300</f>
        <v>-2.0833333333329188E-4</v>
      </c>
      <c r="AQ300" s="38" t="s">
        <v>26</v>
      </c>
      <c r="AR300" s="22">
        <f>MAX(AM299:AN306)</f>
        <v>48.057000000000002</v>
      </c>
      <c r="AS300" s="11"/>
      <c r="AT300" s="49"/>
    </row>
    <row r="301" spans="2:46" customFormat="1" ht="28.8" x14ac:dyDescent="0.3">
      <c r="B301" s="10"/>
      <c r="C301" s="61"/>
      <c r="D301" s="8" t="s">
        <v>320</v>
      </c>
      <c r="E301" s="8" t="s">
        <v>320</v>
      </c>
      <c r="F301" s="8" t="s">
        <v>686</v>
      </c>
      <c r="G301" s="8" t="s">
        <v>327</v>
      </c>
      <c r="H301" s="47"/>
      <c r="I301" s="2"/>
      <c r="J301" s="4">
        <v>48</v>
      </c>
      <c r="K301" s="4" t="s">
        <v>169</v>
      </c>
      <c r="L301" s="5">
        <v>1.0499999999999999E-3</v>
      </c>
      <c r="M301" s="2"/>
      <c r="N301" s="22"/>
      <c r="O301" s="22"/>
      <c r="P301" s="22"/>
      <c r="Q301" s="27"/>
      <c r="R301" s="27"/>
      <c r="S301" s="46"/>
      <c r="T301" s="23"/>
      <c r="U301" s="11"/>
      <c r="V301" s="22"/>
      <c r="W301" s="22"/>
      <c r="X301" s="22"/>
      <c r="Y301" s="27"/>
      <c r="Z301" s="27"/>
      <c r="AA301" s="46"/>
      <c r="AB301" s="23"/>
      <c r="AC301" s="11"/>
      <c r="AD301" s="22"/>
      <c r="AE301" s="22"/>
      <c r="AF301" s="22"/>
      <c r="AG301" s="27"/>
      <c r="AH301" s="27"/>
      <c r="AI301" s="46"/>
      <c r="AJ301" s="23"/>
      <c r="AK301" s="11"/>
      <c r="AL301" s="22">
        <v>48</v>
      </c>
      <c r="AM301" s="22">
        <v>48.017000000000003</v>
      </c>
      <c r="AN301" s="22">
        <v>48.029000000000003</v>
      </c>
      <c r="AO301" s="27">
        <f t="shared" si="134"/>
        <v>3.5416666666672941E-4</v>
      </c>
      <c r="AP301" s="27">
        <f t="shared" si="135"/>
        <v>6.0416666666673891E-4</v>
      </c>
      <c r="AQ301" s="38" t="s">
        <v>26</v>
      </c>
      <c r="AR301" s="23"/>
      <c r="AS301" s="11"/>
      <c r="AT301" s="49"/>
    </row>
    <row r="302" spans="2:46" customFormat="1" ht="28.8" x14ac:dyDescent="0.3">
      <c r="B302" s="10"/>
      <c r="C302" s="61"/>
      <c r="D302" s="8" t="s">
        <v>320</v>
      </c>
      <c r="E302" s="8" t="s">
        <v>320</v>
      </c>
      <c r="F302" s="8" t="s">
        <v>686</v>
      </c>
      <c r="G302" s="8" t="s">
        <v>329</v>
      </c>
      <c r="H302" s="47"/>
      <c r="I302" s="2"/>
      <c r="J302" s="4">
        <v>48</v>
      </c>
      <c r="K302" s="4" t="s">
        <v>169</v>
      </c>
      <c r="L302" s="5">
        <v>1.0499999999999999E-3</v>
      </c>
      <c r="M302" s="2"/>
      <c r="N302" s="22"/>
      <c r="O302" s="22"/>
      <c r="P302" s="22"/>
      <c r="Q302" s="27"/>
      <c r="R302" s="27"/>
      <c r="S302" s="46"/>
      <c r="T302" s="23"/>
      <c r="U302" s="11"/>
      <c r="V302" s="22"/>
      <c r="W302" s="22"/>
      <c r="X302" s="22"/>
      <c r="Y302" s="27"/>
      <c r="Z302" s="27"/>
      <c r="AA302" s="46"/>
      <c r="AB302" s="23"/>
      <c r="AC302" s="11"/>
      <c r="AD302" s="22"/>
      <c r="AE302" s="22"/>
      <c r="AF302" s="22"/>
      <c r="AG302" s="27"/>
      <c r="AH302" s="27"/>
      <c r="AI302" s="46"/>
      <c r="AJ302" s="23"/>
      <c r="AK302" s="11"/>
      <c r="AL302" s="22">
        <v>48</v>
      </c>
      <c r="AM302" s="22">
        <v>48.043999999999997</v>
      </c>
      <c r="AN302" s="22">
        <v>48.057000000000002</v>
      </c>
      <c r="AO302" s="27">
        <f t="shared" si="134"/>
        <v>9.1666666666660268E-4</v>
      </c>
      <c r="AP302" s="27">
        <f t="shared" si="135"/>
        <v>1.1875000000000451E-3</v>
      </c>
      <c r="AQ302" s="47" t="s">
        <v>142</v>
      </c>
      <c r="AR302" s="23"/>
      <c r="AS302" s="11"/>
      <c r="AT302" s="49"/>
    </row>
    <row r="303" spans="2:46" customFormat="1" ht="28.8" x14ac:dyDescent="0.3">
      <c r="B303" s="10"/>
      <c r="C303" s="61"/>
      <c r="D303" s="8" t="s">
        <v>320</v>
      </c>
      <c r="E303" s="8" t="s">
        <v>320</v>
      </c>
      <c r="F303" s="8" t="s">
        <v>686</v>
      </c>
      <c r="G303" s="8" t="s">
        <v>331</v>
      </c>
      <c r="H303" s="47"/>
      <c r="I303" s="2"/>
      <c r="J303" s="4">
        <v>48</v>
      </c>
      <c r="K303" s="4" t="s">
        <v>169</v>
      </c>
      <c r="L303" s="5">
        <v>1.0499999999999999E-3</v>
      </c>
      <c r="M303" s="2"/>
      <c r="N303" s="22"/>
      <c r="O303" s="22"/>
      <c r="P303" s="22"/>
      <c r="Q303" s="27"/>
      <c r="R303" s="27"/>
      <c r="S303" s="46"/>
      <c r="T303" s="23"/>
      <c r="U303" s="11"/>
      <c r="V303" s="22"/>
      <c r="W303" s="22"/>
      <c r="X303" s="22"/>
      <c r="Y303" s="27"/>
      <c r="Z303" s="27"/>
      <c r="AA303" s="46"/>
      <c r="AB303" s="23"/>
      <c r="AC303" s="11"/>
      <c r="AD303" s="22"/>
      <c r="AE303" s="22"/>
      <c r="AF303" s="22"/>
      <c r="AG303" s="27"/>
      <c r="AH303" s="27"/>
      <c r="AI303" s="46"/>
      <c r="AJ303" s="23"/>
      <c r="AK303" s="11"/>
      <c r="AL303" s="22">
        <v>48</v>
      </c>
      <c r="AM303" s="22">
        <v>47.975999999999999</v>
      </c>
      <c r="AN303" s="22">
        <v>47.987000000000002</v>
      </c>
      <c r="AO303" s="27">
        <f t="shared" si="134"/>
        <v>-5.0000000000001898E-4</v>
      </c>
      <c r="AP303" s="27">
        <f t="shared" si="135"/>
        <v>-2.7083333333329424E-4</v>
      </c>
      <c r="AQ303" s="38" t="s">
        <v>26</v>
      </c>
      <c r="AR303" s="23"/>
      <c r="AS303" s="11"/>
      <c r="AT303" s="49"/>
    </row>
    <row r="304" spans="2:46" customFormat="1" ht="28.8" x14ac:dyDescent="0.3">
      <c r="B304" s="10"/>
      <c r="C304" s="61"/>
      <c r="D304" s="8" t="s">
        <v>320</v>
      </c>
      <c r="E304" s="8" t="s">
        <v>320</v>
      </c>
      <c r="F304" s="8" t="s">
        <v>686</v>
      </c>
      <c r="G304" s="8" t="s">
        <v>333</v>
      </c>
      <c r="H304" s="47"/>
      <c r="I304" s="2"/>
      <c r="J304" s="4">
        <v>48</v>
      </c>
      <c r="K304" s="4" t="s">
        <v>169</v>
      </c>
      <c r="L304" s="5">
        <v>1.0499999999999999E-3</v>
      </c>
      <c r="M304" s="2"/>
      <c r="N304" s="22"/>
      <c r="O304" s="22"/>
      <c r="P304" s="22"/>
      <c r="Q304" s="27"/>
      <c r="R304" s="27"/>
      <c r="S304" s="46"/>
      <c r="T304" s="23"/>
      <c r="U304" s="11"/>
      <c r="V304" s="22"/>
      <c r="W304" s="22"/>
      <c r="X304" s="22"/>
      <c r="Y304" s="27"/>
      <c r="Z304" s="27"/>
      <c r="AA304" s="46"/>
      <c r="AB304" s="23"/>
      <c r="AC304" s="11"/>
      <c r="AD304" s="22"/>
      <c r="AE304" s="22"/>
      <c r="AF304" s="22"/>
      <c r="AG304" s="27"/>
      <c r="AH304" s="27"/>
      <c r="AI304" s="46"/>
      <c r="AJ304" s="23"/>
      <c r="AK304" s="11"/>
      <c r="AL304" s="22">
        <v>48</v>
      </c>
      <c r="AM304" s="22">
        <v>48.04</v>
      </c>
      <c r="AN304" s="22">
        <v>48.052999999999997</v>
      </c>
      <c r="AO304" s="27">
        <f t="shared" si="134"/>
        <v>8.3333333333331561E-4</v>
      </c>
      <c r="AP304" s="27">
        <f t="shared" si="135"/>
        <v>1.1041666666666099E-3</v>
      </c>
      <c r="AQ304" s="47" t="s">
        <v>142</v>
      </c>
      <c r="AR304" s="23"/>
      <c r="AS304" s="11"/>
      <c r="AT304" s="49"/>
    </row>
    <row r="305" spans="2:46" customFormat="1" ht="28.8" x14ac:dyDescent="0.3">
      <c r="B305" s="10"/>
      <c r="C305" s="61"/>
      <c r="D305" s="8" t="s">
        <v>320</v>
      </c>
      <c r="E305" s="8" t="s">
        <v>320</v>
      </c>
      <c r="F305" s="8" t="s">
        <v>686</v>
      </c>
      <c r="G305" s="8" t="s">
        <v>335</v>
      </c>
      <c r="H305" s="47"/>
      <c r="I305" s="2"/>
      <c r="J305" s="4">
        <v>48</v>
      </c>
      <c r="K305" s="4" t="s">
        <v>169</v>
      </c>
      <c r="L305" s="5">
        <v>1.0499999999999999E-3</v>
      </c>
      <c r="M305" s="2"/>
      <c r="N305" s="22"/>
      <c r="O305" s="22"/>
      <c r="P305" s="22"/>
      <c r="Q305" s="27"/>
      <c r="R305" s="27"/>
      <c r="S305" s="46"/>
      <c r="T305" s="23"/>
      <c r="U305" s="11"/>
      <c r="V305" s="22"/>
      <c r="W305" s="22"/>
      <c r="X305" s="22"/>
      <c r="Y305" s="27"/>
      <c r="Z305" s="27"/>
      <c r="AA305" s="46"/>
      <c r="AB305" s="23"/>
      <c r="AC305" s="11"/>
      <c r="AD305" s="22"/>
      <c r="AE305" s="22"/>
      <c r="AF305" s="22"/>
      <c r="AG305" s="27"/>
      <c r="AH305" s="27"/>
      <c r="AI305" s="46"/>
      <c r="AJ305" s="23"/>
      <c r="AK305" s="11"/>
      <c r="AL305" s="22">
        <v>48</v>
      </c>
      <c r="AM305" s="22">
        <v>47.970999999999997</v>
      </c>
      <c r="AN305" s="22">
        <v>47.98</v>
      </c>
      <c r="AO305" s="27">
        <f t="shared" si="134"/>
        <v>-6.0416666666673891E-4</v>
      </c>
      <c r="AP305" s="27">
        <f t="shared" si="135"/>
        <v>-4.166666666667318E-4</v>
      </c>
      <c r="AQ305" s="38" t="s">
        <v>26</v>
      </c>
      <c r="AR305" s="23"/>
      <c r="AS305" s="11"/>
      <c r="AT305" s="49"/>
    </row>
    <row r="306" spans="2:46" customFormat="1" ht="28.8" x14ac:dyDescent="0.3">
      <c r="B306" s="10"/>
      <c r="C306" s="61"/>
      <c r="D306" s="8" t="s">
        <v>320</v>
      </c>
      <c r="E306" s="8" t="s">
        <v>320</v>
      </c>
      <c r="F306" s="8" t="s">
        <v>686</v>
      </c>
      <c r="G306" s="8" t="s">
        <v>337</v>
      </c>
      <c r="H306" s="47"/>
      <c r="I306" s="2"/>
      <c r="J306" s="4">
        <v>48</v>
      </c>
      <c r="K306" s="4" t="s">
        <v>169</v>
      </c>
      <c r="L306" s="5">
        <v>1.0499999999999999E-3</v>
      </c>
      <c r="M306" s="2"/>
      <c r="N306" s="22"/>
      <c r="O306" s="22"/>
      <c r="P306" s="22"/>
      <c r="Q306" s="27"/>
      <c r="R306" s="27"/>
      <c r="S306" s="46"/>
      <c r="T306" s="23"/>
      <c r="U306" s="11"/>
      <c r="V306" s="22"/>
      <c r="W306" s="22"/>
      <c r="X306" s="22"/>
      <c r="Y306" s="27"/>
      <c r="Z306" s="27"/>
      <c r="AA306" s="46"/>
      <c r="AB306" s="23"/>
      <c r="AC306" s="11"/>
      <c r="AD306" s="22"/>
      <c r="AE306" s="22"/>
      <c r="AF306" s="22"/>
      <c r="AG306" s="27"/>
      <c r="AH306" s="27"/>
      <c r="AI306" s="46"/>
      <c r="AJ306" s="23"/>
      <c r="AK306" s="11"/>
      <c r="AL306" s="22">
        <v>48</v>
      </c>
      <c r="AM306" s="22">
        <v>48.003</v>
      </c>
      <c r="AN306" s="22">
        <v>48.014000000000003</v>
      </c>
      <c r="AO306" s="27">
        <f t="shared" si="134"/>
        <v>6.2500000000002373E-5</v>
      </c>
      <c r="AP306" s="27">
        <f t="shared" si="135"/>
        <v>2.9166666666672708E-4</v>
      </c>
      <c r="AQ306" s="38" t="s">
        <v>26</v>
      </c>
      <c r="AR306" s="23"/>
      <c r="AS306" s="11"/>
      <c r="AT306" s="49"/>
    </row>
    <row r="307" spans="2:46" ht="86.4" x14ac:dyDescent="0.3">
      <c r="B307" s="10" t="s">
        <v>614</v>
      </c>
      <c r="C307" s="61"/>
      <c r="D307" s="8" t="s">
        <v>71</v>
      </c>
      <c r="E307" s="8" t="s">
        <v>71</v>
      </c>
      <c r="F307" s="8" t="s">
        <v>340</v>
      </c>
      <c r="G307" s="8" t="s">
        <v>131</v>
      </c>
      <c r="H307" s="38" t="s">
        <v>26</v>
      </c>
      <c r="K307" s="4"/>
      <c r="Q307" s="23"/>
      <c r="R307" s="23"/>
      <c r="S307" s="38" t="s">
        <v>26</v>
      </c>
      <c r="Y307" s="23"/>
      <c r="Z307" s="23"/>
      <c r="AA307" s="38" t="s">
        <v>26</v>
      </c>
      <c r="AG307" s="23"/>
      <c r="AH307" s="23"/>
      <c r="AI307" s="38" t="s">
        <v>26</v>
      </c>
      <c r="AO307" s="23"/>
      <c r="AP307" s="23"/>
      <c r="AQ307" s="38" t="s">
        <v>26</v>
      </c>
    </row>
    <row r="308" spans="2:46" ht="86.4" x14ac:dyDescent="0.3">
      <c r="B308" s="10" t="s">
        <v>615</v>
      </c>
      <c r="C308" s="61"/>
      <c r="D308" s="8" t="s">
        <v>71</v>
      </c>
      <c r="E308" s="8" t="s">
        <v>71</v>
      </c>
      <c r="F308" s="8" t="s">
        <v>341</v>
      </c>
      <c r="G308" s="8" t="s">
        <v>131</v>
      </c>
      <c r="H308" s="38" t="s">
        <v>26</v>
      </c>
      <c r="K308" s="4"/>
      <c r="Q308" s="23"/>
      <c r="R308" s="23"/>
      <c r="S308" s="38" t="s">
        <v>26</v>
      </c>
      <c r="Y308" s="23"/>
      <c r="Z308" s="23"/>
      <c r="AA308" s="38" t="s">
        <v>26</v>
      </c>
      <c r="AG308" s="23"/>
      <c r="AH308" s="23"/>
      <c r="AI308" s="38" t="s">
        <v>26</v>
      </c>
      <c r="AO308" s="23"/>
      <c r="AP308" s="23"/>
      <c r="AQ308" s="38" t="s">
        <v>26</v>
      </c>
    </row>
    <row r="309" spans="2:46" ht="72" x14ac:dyDescent="0.3">
      <c r="B309" s="10" t="s">
        <v>616</v>
      </c>
      <c r="C309" s="61"/>
      <c r="D309" s="7" t="s">
        <v>14</v>
      </c>
      <c r="E309" s="8" t="s">
        <v>75</v>
      </c>
      <c r="F309" s="8" t="s">
        <v>681</v>
      </c>
      <c r="G309" s="8" t="s">
        <v>120</v>
      </c>
      <c r="H309" s="38" t="s">
        <v>26</v>
      </c>
      <c r="K309" s="4"/>
      <c r="Q309" s="23"/>
      <c r="R309" s="23"/>
      <c r="S309" s="38" t="s">
        <v>26</v>
      </c>
      <c r="Y309" s="23"/>
      <c r="Z309" s="23"/>
      <c r="AA309" s="38" t="s">
        <v>26</v>
      </c>
      <c r="AG309" s="23"/>
      <c r="AH309" s="23"/>
      <c r="AI309" s="38" t="s">
        <v>26</v>
      </c>
      <c r="AO309" s="23"/>
      <c r="AP309" s="23"/>
      <c r="AQ309" s="38" t="s">
        <v>26</v>
      </c>
    </row>
    <row r="310" spans="2:46" ht="43.8" customHeight="1" x14ac:dyDescent="0.3">
      <c r="B310" s="10" t="s">
        <v>617</v>
      </c>
      <c r="C310" s="61"/>
      <c r="D310" s="7" t="s">
        <v>14</v>
      </c>
      <c r="E310" s="8" t="s">
        <v>75</v>
      </c>
      <c r="F310" s="8" t="s">
        <v>638</v>
      </c>
      <c r="G310" s="8" t="s">
        <v>120</v>
      </c>
      <c r="H310" s="38" t="s">
        <v>26</v>
      </c>
      <c r="J310" s="4">
        <v>0.45</v>
      </c>
      <c r="K310" s="4" t="s">
        <v>169</v>
      </c>
      <c r="N310" s="23"/>
      <c r="O310" s="23"/>
      <c r="P310" s="23"/>
      <c r="Q310" s="23"/>
      <c r="R310" s="23"/>
      <c r="S310" s="23"/>
      <c r="Y310" s="23"/>
      <c r="Z310" s="23"/>
      <c r="AA310" s="23"/>
      <c r="AD310" s="22">
        <v>0.28000000000000003</v>
      </c>
      <c r="AG310" s="27">
        <f>(J310-AD310)/J310</f>
        <v>0.37777777777777771</v>
      </c>
      <c r="AH310" s="23"/>
      <c r="AI310" s="38" t="s">
        <v>26</v>
      </c>
      <c r="AJ310" s="48" t="s">
        <v>637</v>
      </c>
      <c r="AL310" s="22">
        <v>0.28000000000000003</v>
      </c>
      <c r="AO310" s="27" t="e">
        <f>(R310-AL310)/R310</f>
        <v>#DIV/0!</v>
      </c>
      <c r="AP310" s="23"/>
      <c r="AQ310" s="38" t="s">
        <v>26</v>
      </c>
      <c r="AR310" s="48" t="s">
        <v>637</v>
      </c>
      <c r="AT310" s="57" t="s">
        <v>659</v>
      </c>
    </row>
    <row r="311" spans="2:46" ht="28.8" x14ac:dyDescent="0.3">
      <c r="B311" s="10" t="s">
        <v>618</v>
      </c>
      <c r="C311" s="61"/>
      <c r="D311" s="7" t="s">
        <v>14</v>
      </c>
      <c r="E311" s="8" t="s">
        <v>75</v>
      </c>
      <c r="F311" s="8" t="s">
        <v>639</v>
      </c>
      <c r="G311" s="8" t="s">
        <v>120</v>
      </c>
      <c r="H311" s="38" t="s">
        <v>26</v>
      </c>
      <c r="J311" s="4">
        <v>0.45</v>
      </c>
      <c r="K311" s="4" t="s">
        <v>169</v>
      </c>
      <c r="N311" s="23"/>
      <c r="O311" s="23"/>
      <c r="P311" s="23"/>
      <c r="Q311" s="23"/>
      <c r="R311" s="23"/>
      <c r="S311" s="23"/>
      <c r="Y311" s="23"/>
      <c r="Z311" s="23"/>
      <c r="AA311" s="23"/>
      <c r="AD311" s="22">
        <v>0.09</v>
      </c>
      <c r="AG311" s="27">
        <f t="shared" ref="AG311:AG317" si="136">(J311-AD311)/J311</f>
        <v>0.79999999999999993</v>
      </c>
      <c r="AH311" s="23"/>
      <c r="AI311" s="38" t="s">
        <v>26</v>
      </c>
      <c r="AJ311" s="48" t="s">
        <v>637</v>
      </c>
      <c r="AL311" s="22">
        <v>0.09</v>
      </c>
      <c r="AO311" s="27" t="e">
        <f t="shared" ref="AO311:AO317" si="137">(R311-AL311)/R311</f>
        <v>#DIV/0!</v>
      </c>
      <c r="AP311" s="23"/>
      <c r="AQ311" s="38" t="s">
        <v>26</v>
      </c>
      <c r="AR311" s="48" t="s">
        <v>637</v>
      </c>
      <c r="AT311" s="58"/>
    </row>
    <row r="312" spans="2:46" ht="28.8" x14ac:dyDescent="0.3">
      <c r="B312" s="10" t="s">
        <v>619</v>
      </c>
      <c r="C312" s="61"/>
      <c r="D312" s="7" t="s">
        <v>14</v>
      </c>
      <c r="E312" s="8" t="s">
        <v>75</v>
      </c>
      <c r="F312" s="8" t="s">
        <v>640</v>
      </c>
      <c r="G312" s="8" t="s">
        <v>120</v>
      </c>
      <c r="H312" s="38" t="s">
        <v>26</v>
      </c>
      <c r="J312" s="4">
        <v>0.54</v>
      </c>
      <c r="K312" s="4" t="s">
        <v>169</v>
      </c>
      <c r="N312" s="23"/>
      <c r="O312" s="23"/>
      <c r="P312" s="23"/>
      <c r="Q312" s="23"/>
      <c r="R312" s="23"/>
      <c r="S312" s="23"/>
      <c r="Y312" s="23"/>
      <c r="Z312" s="23"/>
      <c r="AA312" s="23"/>
      <c r="AD312" s="22">
        <v>0.32</v>
      </c>
      <c r="AG312" s="27">
        <f t="shared" si="136"/>
        <v>0.40740740740740744</v>
      </c>
      <c r="AH312" s="23"/>
      <c r="AI312" s="38" t="s">
        <v>26</v>
      </c>
      <c r="AJ312" s="48" t="s">
        <v>637</v>
      </c>
      <c r="AL312" s="22">
        <v>0.32</v>
      </c>
      <c r="AO312" s="27" t="e">
        <f t="shared" si="137"/>
        <v>#DIV/0!</v>
      </c>
      <c r="AP312" s="23"/>
      <c r="AQ312" s="38" t="s">
        <v>26</v>
      </c>
      <c r="AR312" s="48" t="s">
        <v>637</v>
      </c>
      <c r="AT312" s="58"/>
    </row>
    <row r="313" spans="2:46" ht="28.8" x14ac:dyDescent="0.3">
      <c r="B313" s="10" t="s">
        <v>620</v>
      </c>
      <c r="C313" s="61"/>
      <c r="D313" s="7" t="s">
        <v>14</v>
      </c>
      <c r="E313" s="8" t="s">
        <v>75</v>
      </c>
      <c r="F313" s="8" t="s">
        <v>641</v>
      </c>
      <c r="G313" s="8" t="s">
        <v>120</v>
      </c>
      <c r="H313" s="38" t="s">
        <v>26</v>
      </c>
      <c r="J313" s="4">
        <v>0.54</v>
      </c>
      <c r="K313" s="4" t="s">
        <v>169</v>
      </c>
      <c r="N313" s="23"/>
      <c r="O313" s="23"/>
      <c r="P313" s="23"/>
      <c r="Q313" s="23"/>
      <c r="R313" s="23"/>
      <c r="S313" s="23"/>
      <c r="Y313" s="23"/>
      <c r="Z313" s="23"/>
      <c r="AA313" s="23"/>
      <c r="AD313" s="22">
        <v>0.09</v>
      </c>
      <c r="AG313" s="27">
        <f t="shared" si="136"/>
        <v>0.83333333333333337</v>
      </c>
      <c r="AH313" s="23"/>
      <c r="AI313" s="38" t="s">
        <v>26</v>
      </c>
      <c r="AJ313" s="48" t="s">
        <v>637</v>
      </c>
      <c r="AL313" s="22">
        <v>0.09</v>
      </c>
      <c r="AO313" s="27" t="e">
        <f t="shared" si="137"/>
        <v>#DIV/0!</v>
      </c>
      <c r="AP313" s="23"/>
      <c r="AQ313" s="38" t="s">
        <v>26</v>
      </c>
      <c r="AR313" s="48" t="s">
        <v>637</v>
      </c>
      <c r="AT313" s="58"/>
    </row>
    <row r="314" spans="2:46" ht="28.8" x14ac:dyDescent="0.3">
      <c r="B314" s="10" t="s">
        <v>621</v>
      </c>
      <c r="C314" s="61"/>
      <c r="D314" s="7" t="s">
        <v>14</v>
      </c>
      <c r="E314" s="8" t="s">
        <v>75</v>
      </c>
      <c r="F314" s="8" t="s">
        <v>642</v>
      </c>
      <c r="G314" s="8" t="s">
        <v>120</v>
      </c>
      <c r="H314" s="38" t="s">
        <v>26</v>
      </c>
      <c r="J314" s="4">
        <v>0.75</v>
      </c>
      <c r="K314" s="4" t="s">
        <v>169</v>
      </c>
      <c r="N314" s="23"/>
      <c r="O314" s="23"/>
      <c r="P314" s="23"/>
      <c r="Q314" s="23"/>
      <c r="R314" s="23"/>
      <c r="S314" s="23"/>
      <c r="Y314" s="23"/>
      <c r="Z314" s="23"/>
      <c r="AA314" s="23"/>
      <c r="AD314" s="22">
        <v>0.45</v>
      </c>
      <c r="AG314" s="27">
        <f t="shared" si="136"/>
        <v>0.39999999999999997</v>
      </c>
      <c r="AH314" s="23"/>
      <c r="AI314" s="38" t="s">
        <v>26</v>
      </c>
      <c r="AJ314" s="48" t="s">
        <v>637</v>
      </c>
      <c r="AL314" s="22">
        <v>0.45</v>
      </c>
      <c r="AO314" s="27" t="e">
        <f t="shared" si="137"/>
        <v>#DIV/0!</v>
      </c>
      <c r="AP314" s="23"/>
      <c r="AQ314" s="38" t="s">
        <v>26</v>
      </c>
      <c r="AR314" s="48" t="s">
        <v>637</v>
      </c>
      <c r="AT314" s="58"/>
    </row>
    <row r="315" spans="2:46" ht="28.8" x14ac:dyDescent="0.3">
      <c r="B315" s="10" t="s">
        <v>622</v>
      </c>
      <c r="C315" s="61"/>
      <c r="D315" s="7" t="s">
        <v>14</v>
      </c>
      <c r="E315" s="8" t="s">
        <v>75</v>
      </c>
      <c r="F315" s="8" t="s">
        <v>644</v>
      </c>
      <c r="G315" s="8" t="s">
        <v>120</v>
      </c>
      <c r="H315" s="38" t="s">
        <v>26</v>
      </c>
      <c r="J315" s="4">
        <v>0.75</v>
      </c>
      <c r="K315" s="4" t="s">
        <v>169</v>
      </c>
      <c r="N315" s="23"/>
      <c r="O315" s="23"/>
      <c r="P315" s="23"/>
      <c r="Q315" s="23"/>
      <c r="R315" s="23"/>
      <c r="S315" s="23"/>
      <c r="Y315" s="23"/>
      <c r="Z315" s="23"/>
      <c r="AA315" s="23"/>
      <c r="AD315" s="22">
        <v>0.06</v>
      </c>
      <c r="AG315" s="27">
        <f t="shared" si="136"/>
        <v>0.91999999999999993</v>
      </c>
      <c r="AH315" s="23"/>
      <c r="AI315" s="38" t="s">
        <v>26</v>
      </c>
      <c r="AJ315" s="48" t="s">
        <v>637</v>
      </c>
      <c r="AL315" s="22">
        <v>0.06</v>
      </c>
      <c r="AO315" s="27" t="e">
        <f t="shared" si="137"/>
        <v>#DIV/0!</v>
      </c>
      <c r="AP315" s="23"/>
      <c r="AQ315" s="38" t="s">
        <v>26</v>
      </c>
      <c r="AR315" s="48" t="s">
        <v>637</v>
      </c>
      <c r="AT315" s="58"/>
    </row>
    <row r="316" spans="2:46" ht="28.8" x14ac:dyDescent="0.3">
      <c r="B316" s="10" t="s">
        <v>623</v>
      </c>
      <c r="C316" s="61"/>
      <c r="D316" s="7" t="s">
        <v>14</v>
      </c>
      <c r="E316" s="8" t="s">
        <v>75</v>
      </c>
      <c r="F316" s="8" t="s">
        <v>643</v>
      </c>
      <c r="G316" s="8" t="s">
        <v>120</v>
      </c>
      <c r="H316" s="38" t="s">
        <v>26</v>
      </c>
      <c r="J316" s="4">
        <v>0.99</v>
      </c>
      <c r="K316" s="4" t="s">
        <v>169</v>
      </c>
      <c r="N316" s="23"/>
      <c r="O316" s="23"/>
      <c r="P316" s="23"/>
      <c r="Q316" s="23"/>
      <c r="R316" s="23"/>
      <c r="S316" s="23"/>
      <c r="Y316" s="23"/>
      <c r="Z316" s="23"/>
      <c r="AA316" s="23"/>
      <c r="AD316" s="22">
        <v>0.5</v>
      </c>
      <c r="AG316" s="27">
        <f t="shared" si="136"/>
        <v>0.49494949494949497</v>
      </c>
      <c r="AH316" s="23"/>
      <c r="AI316" s="38" t="s">
        <v>26</v>
      </c>
      <c r="AJ316" s="48" t="s">
        <v>637</v>
      </c>
      <c r="AL316" s="22">
        <v>0.5</v>
      </c>
      <c r="AO316" s="27" t="e">
        <f t="shared" si="137"/>
        <v>#DIV/0!</v>
      </c>
      <c r="AP316" s="23"/>
      <c r="AQ316" s="38" t="s">
        <v>26</v>
      </c>
      <c r="AR316" s="48" t="s">
        <v>637</v>
      </c>
      <c r="AT316" s="58"/>
    </row>
    <row r="317" spans="2:46" ht="28.8" x14ac:dyDescent="0.3">
      <c r="B317" s="10" t="s">
        <v>624</v>
      </c>
      <c r="C317" s="61"/>
      <c r="D317" s="7" t="s">
        <v>14</v>
      </c>
      <c r="E317" s="8" t="s">
        <v>75</v>
      </c>
      <c r="F317" s="8" t="s">
        <v>645</v>
      </c>
      <c r="G317" s="8" t="s">
        <v>120</v>
      </c>
      <c r="H317" s="38" t="s">
        <v>26</v>
      </c>
      <c r="J317" s="4">
        <v>0.99</v>
      </c>
      <c r="K317" s="4" t="s">
        <v>169</v>
      </c>
      <c r="N317" s="23"/>
      <c r="O317" s="23"/>
      <c r="P317" s="23"/>
      <c r="Q317" s="23"/>
      <c r="R317" s="23"/>
      <c r="S317" s="23"/>
      <c r="Y317" s="23"/>
      <c r="Z317" s="23"/>
      <c r="AA317" s="23"/>
      <c r="AD317" s="22">
        <v>7.0000000000000007E-2</v>
      </c>
      <c r="AG317" s="27">
        <f t="shared" si="136"/>
        <v>0.92929292929292928</v>
      </c>
      <c r="AH317" s="23"/>
      <c r="AI317" s="38" t="s">
        <v>26</v>
      </c>
      <c r="AJ317" s="48" t="s">
        <v>637</v>
      </c>
      <c r="AL317" s="22">
        <v>7.0000000000000007E-2</v>
      </c>
      <c r="AO317" s="27" t="e">
        <f t="shared" si="137"/>
        <v>#DIV/0!</v>
      </c>
      <c r="AP317" s="23"/>
      <c r="AQ317" s="38" t="s">
        <v>26</v>
      </c>
      <c r="AR317" s="48" t="s">
        <v>637</v>
      </c>
      <c r="AT317" s="58"/>
    </row>
    <row r="318" spans="2:46" ht="28.8" x14ac:dyDescent="0.3">
      <c r="B318" s="10" t="s">
        <v>625</v>
      </c>
      <c r="C318" s="61"/>
      <c r="D318" s="7" t="s">
        <v>14</v>
      </c>
      <c r="E318" s="8" t="s">
        <v>75</v>
      </c>
      <c r="F318" s="8" t="s">
        <v>646</v>
      </c>
      <c r="G318" s="8" t="s">
        <v>120</v>
      </c>
      <c r="H318" s="45" t="s">
        <v>680</v>
      </c>
      <c r="J318" s="4">
        <v>1.3</v>
      </c>
      <c r="K318" s="4" t="s">
        <v>650</v>
      </c>
      <c r="N318" s="23"/>
      <c r="O318" s="23"/>
      <c r="P318" s="23"/>
      <c r="Q318" s="23"/>
      <c r="R318" s="23"/>
      <c r="S318" s="23"/>
      <c r="Y318" s="23"/>
      <c r="Z318" s="23"/>
      <c r="AA318" s="23"/>
      <c r="AD318" s="22">
        <v>1.28</v>
      </c>
      <c r="AG318" s="27">
        <f>(AD318-J318)/J318</f>
        <v>-1.5384615384615398E-2</v>
      </c>
      <c r="AH318" s="23"/>
      <c r="AI318" s="46" t="s">
        <v>142</v>
      </c>
      <c r="AJ318" s="48" t="s">
        <v>637</v>
      </c>
      <c r="AL318" s="22">
        <v>1.28</v>
      </c>
      <c r="AO318" s="27" t="e">
        <f>(AL318-R318)/R318</f>
        <v>#DIV/0!</v>
      </c>
      <c r="AP318" s="23"/>
      <c r="AQ318" s="46" t="s">
        <v>142</v>
      </c>
      <c r="AR318" s="48" t="s">
        <v>637</v>
      </c>
      <c r="AT318" s="58"/>
    </row>
    <row r="319" spans="2:46" ht="28.8" x14ac:dyDescent="0.3">
      <c r="B319" s="10" t="s">
        <v>626</v>
      </c>
      <c r="C319" s="61"/>
      <c r="D319" s="7" t="s">
        <v>14</v>
      </c>
      <c r="E319" s="8" t="s">
        <v>75</v>
      </c>
      <c r="F319" s="8" t="s">
        <v>649</v>
      </c>
      <c r="G319" s="8" t="s">
        <v>120</v>
      </c>
      <c r="H319" s="45" t="s">
        <v>680</v>
      </c>
      <c r="J319" s="4">
        <v>1.3</v>
      </c>
      <c r="K319" s="4" t="s">
        <v>650</v>
      </c>
      <c r="N319" s="23"/>
      <c r="O319" s="23"/>
      <c r="P319" s="23"/>
      <c r="Q319" s="23"/>
      <c r="R319" s="23"/>
      <c r="S319" s="23"/>
      <c r="Y319" s="23"/>
      <c r="Z319" s="23"/>
      <c r="AA319" s="23"/>
      <c r="AD319" s="22">
        <v>1.28</v>
      </c>
      <c r="AG319" s="27">
        <f>(AD319-J319)/J319</f>
        <v>-1.5384615384615398E-2</v>
      </c>
      <c r="AH319" s="23"/>
      <c r="AI319" s="46" t="s">
        <v>142</v>
      </c>
      <c r="AJ319" s="48" t="s">
        <v>637</v>
      </c>
      <c r="AL319" s="22">
        <v>1.28</v>
      </c>
      <c r="AO319" s="27" t="e">
        <f>(AL319-R319)/R319</f>
        <v>#DIV/0!</v>
      </c>
      <c r="AP319" s="23"/>
      <c r="AQ319" s="46" t="s">
        <v>142</v>
      </c>
      <c r="AR319" s="48" t="s">
        <v>637</v>
      </c>
      <c r="AT319" s="58"/>
    </row>
    <row r="320" spans="2:46" ht="28.8" x14ac:dyDescent="0.3">
      <c r="B320" s="10" t="s">
        <v>627</v>
      </c>
      <c r="C320" s="61"/>
      <c r="D320" s="7" t="s">
        <v>14</v>
      </c>
      <c r="E320" s="8" t="s">
        <v>75</v>
      </c>
      <c r="F320" s="8" t="s">
        <v>648</v>
      </c>
      <c r="G320" s="8" t="s">
        <v>120</v>
      </c>
      <c r="H320" s="45" t="s">
        <v>680</v>
      </c>
      <c r="J320" s="4">
        <v>1.3</v>
      </c>
      <c r="K320" s="4" t="s">
        <v>650</v>
      </c>
      <c r="N320" s="23"/>
      <c r="O320" s="23"/>
      <c r="P320" s="23"/>
      <c r="Q320" s="23"/>
      <c r="R320" s="23"/>
      <c r="S320" s="23"/>
      <c r="Y320" s="23"/>
      <c r="Z320" s="23"/>
      <c r="AA320" s="23"/>
      <c r="AD320" s="22">
        <v>1.28</v>
      </c>
      <c r="AG320" s="27">
        <f>(AD320-J320)/J320</f>
        <v>-1.5384615384615398E-2</v>
      </c>
      <c r="AH320" s="23"/>
      <c r="AI320" s="46" t="s">
        <v>142</v>
      </c>
      <c r="AJ320" s="48" t="s">
        <v>637</v>
      </c>
      <c r="AL320" s="22">
        <v>1.28</v>
      </c>
      <c r="AO320" s="27" t="e">
        <f>(AL320-R320)/R320</f>
        <v>#DIV/0!</v>
      </c>
      <c r="AP320" s="23"/>
      <c r="AQ320" s="46" t="s">
        <v>142</v>
      </c>
      <c r="AR320" s="48" t="s">
        <v>637</v>
      </c>
      <c r="AT320" s="58"/>
    </row>
    <row r="321" spans="2:46" ht="28.8" x14ac:dyDescent="0.3">
      <c r="B321" s="10" t="s">
        <v>628</v>
      </c>
      <c r="C321" s="61"/>
      <c r="D321" s="7" t="s">
        <v>14</v>
      </c>
      <c r="E321" s="8" t="s">
        <v>75</v>
      </c>
      <c r="F321" s="8" t="s">
        <v>647</v>
      </c>
      <c r="G321" s="8" t="s">
        <v>120</v>
      </c>
      <c r="H321" s="45" t="s">
        <v>680</v>
      </c>
      <c r="J321" s="4">
        <v>1.3</v>
      </c>
      <c r="K321" s="4" t="s">
        <v>650</v>
      </c>
      <c r="N321" s="23"/>
      <c r="O321" s="23"/>
      <c r="P321" s="23"/>
      <c r="Q321" s="23"/>
      <c r="R321" s="23"/>
      <c r="S321" s="23"/>
      <c r="Y321" s="23"/>
      <c r="Z321" s="23"/>
      <c r="AA321" s="23"/>
      <c r="AD321" s="22">
        <v>1.27</v>
      </c>
      <c r="AG321" s="27">
        <f>(AD321-J321)/J321</f>
        <v>-2.3076923076923096E-2</v>
      </c>
      <c r="AH321" s="23"/>
      <c r="AI321" s="46" t="s">
        <v>142</v>
      </c>
      <c r="AJ321" s="48" t="s">
        <v>637</v>
      </c>
      <c r="AL321" s="22">
        <v>1.27</v>
      </c>
      <c r="AO321" s="27" t="e">
        <f>(AL321-R321)/R321</f>
        <v>#DIV/0!</v>
      </c>
      <c r="AP321" s="23"/>
      <c r="AQ321" s="46" t="s">
        <v>142</v>
      </c>
      <c r="AR321" s="48" t="s">
        <v>637</v>
      </c>
      <c r="AT321" s="58"/>
    </row>
    <row r="322" spans="2:46" ht="28.8" x14ac:dyDescent="0.3">
      <c r="B322" s="10" t="s">
        <v>629</v>
      </c>
      <c r="C322" s="61"/>
      <c r="D322" s="7" t="s">
        <v>14</v>
      </c>
      <c r="E322" s="8" t="s">
        <v>75</v>
      </c>
      <c r="F322" s="8" t="s">
        <v>652</v>
      </c>
      <c r="G322" s="8" t="s">
        <v>120</v>
      </c>
      <c r="H322" s="38" t="s">
        <v>26</v>
      </c>
      <c r="J322" s="4">
        <v>0.6</v>
      </c>
      <c r="K322" s="4" t="s">
        <v>650</v>
      </c>
      <c r="N322" s="23"/>
      <c r="O322" s="23"/>
      <c r="P322" s="23"/>
      <c r="Q322" s="23"/>
      <c r="R322" s="23"/>
      <c r="S322" s="23"/>
      <c r="Y322" s="23"/>
      <c r="Z322" s="23"/>
      <c r="AA322" s="23"/>
      <c r="AD322" s="22">
        <v>1.04</v>
      </c>
      <c r="AG322" s="27">
        <f>(AD322-J322)/J322</f>
        <v>0.7333333333333335</v>
      </c>
      <c r="AH322" s="23"/>
      <c r="AI322" s="38" t="s">
        <v>26</v>
      </c>
      <c r="AJ322" s="48" t="s">
        <v>637</v>
      </c>
      <c r="AL322" s="22">
        <v>1.04</v>
      </c>
      <c r="AO322" s="27" t="e">
        <f>(AL322-R322)/R322</f>
        <v>#DIV/0!</v>
      </c>
      <c r="AP322" s="23"/>
      <c r="AQ322" s="38" t="s">
        <v>26</v>
      </c>
      <c r="AR322" s="48" t="s">
        <v>637</v>
      </c>
      <c r="AT322" s="58"/>
    </row>
    <row r="323" spans="2:46" ht="28.8" x14ac:dyDescent="0.3">
      <c r="B323" s="10" t="s">
        <v>630</v>
      </c>
      <c r="C323" s="61"/>
      <c r="D323" s="7" t="s">
        <v>14</v>
      </c>
      <c r="E323" s="8" t="s">
        <v>75</v>
      </c>
      <c r="F323" s="8" t="s">
        <v>653</v>
      </c>
      <c r="G323" s="8" t="s">
        <v>120</v>
      </c>
      <c r="H323" s="38" t="s">
        <v>26</v>
      </c>
      <c r="J323" s="4">
        <v>0.6</v>
      </c>
      <c r="K323" s="4" t="s">
        <v>650</v>
      </c>
      <c r="N323" s="23"/>
      <c r="O323" s="23"/>
      <c r="P323" s="23"/>
      <c r="Q323" s="23"/>
      <c r="R323" s="23"/>
      <c r="S323" s="23"/>
      <c r="Y323" s="23"/>
      <c r="Z323" s="23"/>
      <c r="AA323" s="23"/>
      <c r="AD323" s="22">
        <v>1.04</v>
      </c>
      <c r="AG323" s="27">
        <f t="shared" ref="AG323:AG325" si="138">(AD323-J323)/J323</f>
        <v>0.7333333333333335</v>
      </c>
      <c r="AH323" s="23"/>
      <c r="AI323" s="38" t="s">
        <v>26</v>
      </c>
      <c r="AJ323" s="48" t="s">
        <v>637</v>
      </c>
      <c r="AL323" s="22">
        <v>1.04</v>
      </c>
      <c r="AO323" s="27" t="e">
        <f t="shared" ref="AO323:AO325" si="139">(AL323-R323)/R323</f>
        <v>#DIV/0!</v>
      </c>
      <c r="AP323" s="23"/>
      <c r="AQ323" s="38" t="s">
        <v>26</v>
      </c>
      <c r="AR323" s="48" t="s">
        <v>637</v>
      </c>
      <c r="AT323" s="58"/>
    </row>
    <row r="324" spans="2:46" ht="28.8" x14ac:dyDescent="0.3">
      <c r="B324" s="10" t="s">
        <v>631</v>
      </c>
      <c r="C324" s="61"/>
      <c r="D324" s="7" t="s">
        <v>14</v>
      </c>
      <c r="E324" s="8" t="s">
        <v>75</v>
      </c>
      <c r="F324" s="8" t="s">
        <v>654</v>
      </c>
      <c r="G324" s="8" t="s">
        <v>120</v>
      </c>
      <c r="H324" s="38" t="s">
        <v>26</v>
      </c>
      <c r="J324" s="4">
        <v>0.6</v>
      </c>
      <c r="K324" s="4" t="s">
        <v>650</v>
      </c>
      <c r="N324" s="23"/>
      <c r="O324" s="23"/>
      <c r="P324" s="23"/>
      <c r="Q324" s="23"/>
      <c r="R324" s="23"/>
      <c r="S324" s="23"/>
      <c r="Y324" s="23"/>
      <c r="Z324" s="23"/>
      <c r="AA324" s="23"/>
      <c r="AD324" s="22">
        <v>0.97</v>
      </c>
      <c r="AG324" s="27">
        <f t="shared" si="138"/>
        <v>0.6166666666666667</v>
      </c>
      <c r="AH324" s="23"/>
      <c r="AI324" s="38" t="s">
        <v>26</v>
      </c>
      <c r="AJ324" s="48" t="s">
        <v>637</v>
      </c>
      <c r="AL324" s="22">
        <v>0.97</v>
      </c>
      <c r="AO324" s="27" t="e">
        <f t="shared" si="139"/>
        <v>#DIV/0!</v>
      </c>
      <c r="AP324" s="23"/>
      <c r="AQ324" s="38" t="s">
        <v>26</v>
      </c>
      <c r="AR324" s="48" t="s">
        <v>637</v>
      </c>
      <c r="AT324" s="58"/>
    </row>
    <row r="325" spans="2:46" ht="28.8" x14ac:dyDescent="0.3">
      <c r="B325" s="10" t="s">
        <v>632</v>
      </c>
      <c r="C325" s="61"/>
      <c r="D325" s="7" t="s">
        <v>14</v>
      </c>
      <c r="E325" s="8" t="s">
        <v>75</v>
      </c>
      <c r="F325" s="8" t="s">
        <v>651</v>
      </c>
      <c r="G325" s="8" t="s">
        <v>120</v>
      </c>
      <c r="H325" s="38" t="s">
        <v>26</v>
      </c>
      <c r="J325" s="4">
        <v>0.6</v>
      </c>
      <c r="K325" s="4" t="s">
        <v>650</v>
      </c>
      <c r="N325" s="23"/>
      <c r="O325" s="23"/>
      <c r="P325" s="23"/>
      <c r="Q325" s="23"/>
      <c r="R325" s="23"/>
      <c r="S325" s="23"/>
      <c r="Y325" s="23"/>
      <c r="Z325" s="23"/>
      <c r="AA325" s="23"/>
      <c r="AD325" s="22">
        <v>0.93</v>
      </c>
      <c r="AG325" s="27">
        <f t="shared" si="138"/>
        <v>0.55000000000000016</v>
      </c>
      <c r="AH325" s="23"/>
      <c r="AI325" s="38" t="s">
        <v>26</v>
      </c>
      <c r="AJ325" s="48" t="s">
        <v>637</v>
      </c>
      <c r="AL325" s="22">
        <v>0.93</v>
      </c>
      <c r="AO325" s="27" t="e">
        <f t="shared" si="139"/>
        <v>#DIV/0!</v>
      </c>
      <c r="AP325" s="23"/>
      <c r="AQ325" s="38" t="s">
        <v>26</v>
      </c>
      <c r="AR325" s="48" t="s">
        <v>637</v>
      </c>
      <c r="AT325" s="58"/>
    </row>
    <row r="326" spans="2:46" ht="28.8" x14ac:dyDescent="0.3">
      <c r="B326" s="10" t="s">
        <v>633</v>
      </c>
      <c r="C326" s="61"/>
      <c r="D326" s="7" t="s">
        <v>14</v>
      </c>
      <c r="E326" s="8" t="s">
        <v>75</v>
      </c>
      <c r="F326" s="8" t="s">
        <v>658</v>
      </c>
      <c r="G326" s="8" t="s">
        <v>120</v>
      </c>
      <c r="H326" s="38" t="s">
        <v>26</v>
      </c>
      <c r="J326" s="4">
        <v>0.3</v>
      </c>
      <c r="K326" s="4" t="s">
        <v>650</v>
      </c>
      <c r="N326" s="23"/>
      <c r="O326" s="23"/>
      <c r="P326" s="23"/>
      <c r="Q326" s="23"/>
      <c r="R326" s="23"/>
      <c r="S326" s="23"/>
      <c r="Y326" s="23"/>
      <c r="Z326" s="23"/>
      <c r="AA326" s="23"/>
      <c r="AD326" s="4">
        <v>0.3</v>
      </c>
      <c r="AG326" s="27">
        <f>(J326-AD326)/J326</f>
        <v>0</v>
      </c>
      <c r="AH326" s="23"/>
      <c r="AI326" s="38" t="s">
        <v>26</v>
      </c>
      <c r="AJ326" s="48" t="s">
        <v>637</v>
      </c>
      <c r="AL326" s="4">
        <v>0.3</v>
      </c>
      <c r="AO326" s="27" t="e">
        <f>(R326-AL326)/R326</f>
        <v>#DIV/0!</v>
      </c>
      <c r="AP326" s="23"/>
      <c r="AQ326" s="38" t="s">
        <v>26</v>
      </c>
      <c r="AR326" s="48" t="s">
        <v>637</v>
      </c>
      <c r="AT326" s="58"/>
    </row>
    <row r="327" spans="2:46" ht="28.8" x14ac:dyDescent="0.3">
      <c r="B327" s="10" t="s">
        <v>634</v>
      </c>
      <c r="C327" s="61"/>
      <c r="D327" s="7" t="s">
        <v>14</v>
      </c>
      <c r="E327" s="8" t="s">
        <v>75</v>
      </c>
      <c r="F327" s="8" t="s">
        <v>657</v>
      </c>
      <c r="G327" s="8" t="s">
        <v>120</v>
      </c>
      <c r="H327" s="38" t="s">
        <v>26</v>
      </c>
      <c r="J327" s="4">
        <v>0.3</v>
      </c>
      <c r="K327" s="4" t="s">
        <v>650</v>
      </c>
      <c r="N327" s="23"/>
      <c r="O327" s="23"/>
      <c r="P327" s="23"/>
      <c r="Q327" s="23"/>
      <c r="R327" s="23"/>
      <c r="S327" s="23"/>
      <c r="Y327" s="23"/>
      <c r="Z327" s="23"/>
      <c r="AA327" s="23"/>
      <c r="AD327" s="4">
        <v>0.3</v>
      </c>
      <c r="AG327" s="27">
        <f>(J327-AD327)/J327</f>
        <v>0</v>
      </c>
      <c r="AH327" s="23"/>
      <c r="AI327" s="38" t="s">
        <v>26</v>
      </c>
      <c r="AJ327" s="48" t="s">
        <v>637</v>
      </c>
      <c r="AL327" s="4">
        <v>0.3</v>
      </c>
      <c r="AO327" s="27" t="e">
        <f>(R327-AL327)/R327</f>
        <v>#DIV/0!</v>
      </c>
      <c r="AP327" s="23"/>
      <c r="AQ327" s="38" t="s">
        <v>26</v>
      </c>
      <c r="AR327" s="48" t="s">
        <v>637</v>
      </c>
      <c r="AT327" s="58"/>
    </row>
    <row r="328" spans="2:46" ht="28.8" x14ac:dyDescent="0.3">
      <c r="B328" s="10" t="s">
        <v>635</v>
      </c>
      <c r="C328" s="61"/>
      <c r="D328" s="7" t="s">
        <v>14</v>
      </c>
      <c r="E328" s="8" t="s">
        <v>75</v>
      </c>
      <c r="F328" s="8" t="s">
        <v>656</v>
      </c>
      <c r="G328" s="8" t="s">
        <v>120</v>
      </c>
      <c r="H328" s="38" t="s">
        <v>26</v>
      </c>
      <c r="J328" s="4">
        <v>0.3</v>
      </c>
      <c r="K328" s="4" t="s">
        <v>650</v>
      </c>
      <c r="N328" s="23"/>
      <c r="O328" s="23"/>
      <c r="P328" s="23"/>
      <c r="Q328" s="23"/>
      <c r="R328" s="23"/>
      <c r="S328" s="23"/>
      <c r="Y328" s="23"/>
      <c r="Z328" s="23"/>
      <c r="AA328" s="23"/>
      <c r="AD328" s="4">
        <v>0.25</v>
      </c>
      <c r="AG328" s="27">
        <f>(J328-AD328)/J328</f>
        <v>0.16666666666666663</v>
      </c>
      <c r="AH328" s="23"/>
      <c r="AI328" s="38" t="s">
        <v>26</v>
      </c>
      <c r="AJ328" s="48" t="s">
        <v>637</v>
      </c>
      <c r="AL328" s="4">
        <v>0.25</v>
      </c>
      <c r="AO328" s="27" t="e">
        <f>(R328-AL328)/R328</f>
        <v>#DIV/0!</v>
      </c>
      <c r="AP328" s="23"/>
      <c r="AQ328" s="38" t="s">
        <v>26</v>
      </c>
      <c r="AR328" s="48" t="s">
        <v>637</v>
      </c>
      <c r="AT328" s="58"/>
    </row>
    <row r="329" spans="2:46" ht="28.8" x14ac:dyDescent="0.3">
      <c r="B329" s="10" t="s">
        <v>636</v>
      </c>
      <c r="C329" s="61"/>
      <c r="D329" s="7" t="s">
        <v>14</v>
      </c>
      <c r="E329" s="8" t="s">
        <v>75</v>
      </c>
      <c r="F329" s="8" t="s">
        <v>655</v>
      </c>
      <c r="G329" s="8" t="s">
        <v>120</v>
      </c>
      <c r="H329" s="38" t="s">
        <v>26</v>
      </c>
      <c r="J329" s="4">
        <v>0.3</v>
      </c>
      <c r="K329" s="4" t="s">
        <v>650</v>
      </c>
      <c r="N329" s="23"/>
      <c r="O329" s="23"/>
      <c r="P329" s="23"/>
      <c r="Q329" s="23"/>
      <c r="R329" s="23"/>
      <c r="S329" s="23"/>
      <c r="Y329" s="23"/>
      <c r="Z329" s="23"/>
      <c r="AA329" s="23"/>
      <c r="AD329" s="4">
        <v>0.24</v>
      </c>
      <c r="AG329" s="27">
        <f>(J329-AD329)/J329</f>
        <v>0.2</v>
      </c>
      <c r="AH329" s="23"/>
      <c r="AI329" s="38" t="s">
        <v>26</v>
      </c>
      <c r="AJ329" s="48" t="s">
        <v>637</v>
      </c>
      <c r="AL329" s="4">
        <v>0.24</v>
      </c>
      <c r="AO329" s="27" t="e">
        <f>(R329-AL329)/R329</f>
        <v>#DIV/0!</v>
      </c>
      <c r="AP329" s="23"/>
      <c r="AQ329" s="38" t="s">
        <v>26</v>
      </c>
      <c r="AR329" s="48" t="s">
        <v>637</v>
      </c>
      <c r="AT329" s="59"/>
    </row>
    <row r="330" spans="2:46" ht="43.2" x14ac:dyDescent="0.3">
      <c r="B330" s="10" t="s">
        <v>660</v>
      </c>
      <c r="C330" s="61"/>
      <c r="D330" s="7" t="s">
        <v>72</v>
      </c>
      <c r="E330" s="7" t="s">
        <v>72</v>
      </c>
      <c r="F330" s="8" t="s">
        <v>342</v>
      </c>
      <c r="G330" s="8" t="s">
        <v>130</v>
      </c>
      <c r="H330" s="38" t="s">
        <v>26</v>
      </c>
      <c r="K330" s="4"/>
      <c r="Q330" s="23"/>
      <c r="R330" s="23"/>
      <c r="S330" s="38" t="s">
        <v>26</v>
      </c>
      <c r="Y330" s="23"/>
      <c r="Z330" s="23"/>
      <c r="AA330" s="38" t="s">
        <v>26</v>
      </c>
      <c r="AG330" s="23"/>
      <c r="AH330" s="23"/>
      <c r="AI330" s="38" t="s">
        <v>26</v>
      </c>
      <c r="AO330" s="23"/>
      <c r="AP330" s="23"/>
      <c r="AQ330" s="38" t="s">
        <v>26</v>
      </c>
    </row>
    <row r="331" spans="2:46" ht="43.2" x14ac:dyDescent="0.3">
      <c r="B331" s="10" t="s">
        <v>661</v>
      </c>
      <c r="C331" s="61"/>
      <c r="D331" s="7" t="s">
        <v>343</v>
      </c>
      <c r="E331" s="7" t="s">
        <v>343</v>
      </c>
      <c r="F331" s="8" t="s">
        <v>344</v>
      </c>
      <c r="H331" s="38" t="s">
        <v>26</v>
      </c>
      <c r="K331" s="4"/>
      <c r="Q331" s="23"/>
      <c r="R331" s="23"/>
      <c r="S331" s="38" t="s">
        <v>26</v>
      </c>
      <c r="Y331" s="23"/>
      <c r="Z331" s="23"/>
      <c r="AA331" s="38" t="s">
        <v>26</v>
      </c>
      <c r="AG331" s="23"/>
      <c r="AH331" s="23"/>
      <c r="AI331" s="46" t="s">
        <v>142</v>
      </c>
      <c r="AJ331" s="48" t="s">
        <v>684</v>
      </c>
      <c r="AO331" s="23"/>
      <c r="AP331" s="23"/>
      <c r="AQ331" s="46" t="s">
        <v>142</v>
      </c>
      <c r="AR331" s="48" t="s">
        <v>684</v>
      </c>
    </row>
    <row r="332" spans="2:46" ht="43.2" x14ac:dyDescent="0.3">
      <c r="B332" s="10" t="s">
        <v>662</v>
      </c>
      <c r="C332" s="61"/>
      <c r="D332" s="8" t="s">
        <v>552</v>
      </c>
      <c r="E332" s="8" t="s">
        <v>552</v>
      </c>
      <c r="F332" s="8" t="s">
        <v>561</v>
      </c>
      <c r="H332" s="38" t="s">
        <v>26</v>
      </c>
      <c r="J332" s="4">
        <v>0.5</v>
      </c>
      <c r="K332" s="4"/>
      <c r="N332" s="22">
        <v>0.502</v>
      </c>
      <c r="P332" s="22">
        <v>0.499</v>
      </c>
      <c r="Q332" s="23"/>
      <c r="R332" s="23"/>
      <c r="S332" s="38" t="s">
        <v>26</v>
      </c>
      <c r="V332" s="22">
        <v>0.502</v>
      </c>
      <c r="X332" s="22">
        <v>0.498</v>
      </c>
      <c r="Y332" s="23"/>
      <c r="Z332" s="23"/>
      <c r="AA332" s="38" t="s">
        <v>26</v>
      </c>
      <c r="AD332" s="22">
        <v>0.505</v>
      </c>
      <c r="AF332" s="22">
        <v>0.499</v>
      </c>
      <c r="AG332" s="23"/>
      <c r="AH332" s="23"/>
      <c r="AI332" s="38" t="s">
        <v>26</v>
      </c>
      <c r="AL332" s="22">
        <v>0.505</v>
      </c>
      <c r="AN332" s="22">
        <v>0.499</v>
      </c>
      <c r="AO332" s="23"/>
      <c r="AP332" s="23"/>
      <c r="AQ332" s="38" t="s">
        <v>26</v>
      </c>
    </row>
    <row r="333" spans="2:46" ht="43.2" x14ac:dyDescent="0.3">
      <c r="B333" s="10" t="s">
        <v>663</v>
      </c>
      <c r="C333" s="61"/>
      <c r="D333" s="8" t="s">
        <v>552</v>
      </c>
      <c r="E333" s="8" t="s">
        <v>552</v>
      </c>
      <c r="F333" s="8" t="s">
        <v>560</v>
      </c>
      <c r="H333" s="38" t="s">
        <v>26</v>
      </c>
      <c r="J333" s="4">
        <v>5</v>
      </c>
      <c r="K333" s="4"/>
      <c r="P333" s="22">
        <v>4.91</v>
      </c>
      <c r="Q333" s="23"/>
      <c r="R333" s="23"/>
      <c r="S333" s="38" t="s">
        <v>26</v>
      </c>
      <c r="X333" s="22">
        <v>4.9400000000000004</v>
      </c>
      <c r="Y333" s="23"/>
      <c r="Z333" s="23"/>
      <c r="AA333" s="38" t="s">
        <v>26</v>
      </c>
      <c r="AF333" s="22">
        <v>4.97</v>
      </c>
      <c r="AG333" s="23"/>
      <c r="AH333" s="23"/>
      <c r="AI333" s="38" t="s">
        <v>26</v>
      </c>
      <c r="AN333" s="22">
        <v>4.97</v>
      </c>
      <c r="AO333" s="23"/>
      <c r="AP333" s="23"/>
      <c r="AQ333" s="38" t="s">
        <v>26</v>
      </c>
    </row>
    <row r="334" spans="2:46" ht="43.2" x14ac:dyDescent="0.3">
      <c r="B334" s="10" t="s">
        <v>664</v>
      </c>
      <c r="C334" s="61"/>
      <c r="D334" s="8" t="s">
        <v>552</v>
      </c>
      <c r="E334" s="8" t="s">
        <v>552</v>
      </c>
      <c r="F334" s="8" t="s">
        <v>559</v>
      </c>
      <c r="H334" s="38" t="s">
        <v>26</v>
      </c>
      <c r="J334" s="4">
        <v>5</v>
      </c>
      <c r="K334" s="4"/>
      <c r="N334" s="22">
        <v>4.99</v>
      </c>
      <c r="P334" s="22">
        <v>4.95</v>
      </c>
      <c r="Q334" s="23"/>
      <c r="R334" s="23"/>
      <c r="S334" s="38" t="s">
        <v>26</v>
      </c>
      <c r="V334" s="22">
        <v>5</v>
      </c>
      <c r="X334" s="22">
        <v>4.9800000000000004</v>
      </c>
      <c r="Y334" s="23"/>
      <c r="Z334" s="23"/>
      <c r="AA334" s="38" t="s">
        <v>26</v>
      </c>
      <c r="AD334" s="22">
        <v>5</v>
      </c>
      <c r="AF334" s="22">
        <v>4.9800000000000004</v>
      </c>
      <c r="AG334" s="23"/>
      <c r="AH334" s="23"/>
      <c r="AI334" s="38" t="s">
        <v>26</v>
      </c>
      <c r="AL334" s="22">
        <v>5</v>
      </c>
      <c r="AN334" s="22">
        <v>4.9800000000000004</v>
      </c>
      <c r="AO334" s="23"/>
      <c r="AP334" s="23"/>
      <c r="AQ334" s="38" t="s">
        <v>26</v>
      </c>
    </row>
    <row r="335" spans="2:46" ht="43.2" x14ac:dyDescent="0.3">
      <c r="B335" s="10" t="s">
        <v>665</v>
      </c>
      <c r="C335" s="61"/>
      <c r="D335" s="8" t="s">
        <v>552</v>
      </c>
      <c r="E335" s="8" t="s">
        <v>552</v>
      </c>
      <c r="F335" s="8" t="s">
        <v>553</v>
      </c>
      <c r="H335" s="38" t="s">
        <v>26</v>
      </c>
      <c r="J335" s="4">
        <v>1</v>
      </c>
      <c r="K335" s="4"/>
      <c r="N335" s="22">
        <v>0.98799999999999999</v>
      </c>
      <c r="P335" s="22">
        <v>0.997</v>
      </c>
      <c r="Q335" s="23"/>
      <c r="R335" s="23"/>
      <c r="S335" s="38" t="s">
        <v>26</v>
      </c>
      <c r="V335" s="22">
        <v>0.99199999999999999</v>
      </c>
      <c r="X335" s="22">
        <v>0.996</v>
      </c>
      <c r="Y335" s="23"/>
      <c r="Z335" s="23"/>
      <c r="AA335" s="38" t="s">
        <v>26</v>
      </c>
      <c r="AD335" s="22">
        <v>1.004</v>
      </c>
      <c r="AF335" s="22">
        <v>0.998</v>
      </c>
      <c r="AG335" s="23"/>
      <c r="AH335" s="23"/>
      <c r="AI335" s="38" t="s">
        <v>26</v>
      </c>
      <c r="AL335" s="22">
        <v>1.004</v>
      </c>
      <c r="AN335" s="22">
        <v>0.998</v>
      </c>
      <c r="AO335" s="23"/>
      <c r="AP335" s="23"/>
      <c r="AQ335" s="38" t="s">
        <v>26</v>
      </c>
    </row>
    <row r="336" spans="2:46" ht="43.2" x14ac:dyDescent="0.3">
      <c r="B336" s="10" t="s">
        <v>666</v>
      </c>
      <c r="C336" s="61"/>
      <c r="D336" s="8" t="s">
        <v>552</v>
      </c>
      <c r="E336" s="8" t="s">
        <v>552</v>
      </c>
      <c r="F336" s="8" t="s">
        <v>554</v>
      </c>
      <c r="H336" s="38" t="s">
        <v>26</v>
      </c>
      <c r="J336" s="4">
        <v>5</v>
      </c>
      <c r="K336" s="4"/>
      <c r="P336" s="22">
        <v>4.83</v>
      </c>
      <c r="Q336" s="23"/>
      <c r="R336" s="23"/>
      <c r="S336" s="38" t="s">
        <v>26</v>
      </c>
      <c r="X336" s="22">
        <v>4.8499999999999996</v>
      </c>
      <c r="Y336" s="23"/>
      <c r="Z336" s="23"/>
      <c r="AA336" s="38" t="s">
        <v>26</v>
      </c>
      <c r="AF336" s="22">
        <v>4.9400000000000004</v>
      </c>
      <c r="AG336" s="23"/>
      <c r="AH336" s="23"/>
      <c r="AI336" s="38" t="s">
        <v>26</v>
      </c>
      <c r="AN336" s="22">
        <v>4.9400000000000004</v>
      </c>
      <c r="AO336" s="23"/>
      <c r="AP336" s="23"/>
      <c r="AQ336" s="38" t="s">
        <v>26</v>
      </c>
    </row>
    <row r="337" spans="2:46" ht="43.2" x14ac:dyDescent="0.3">
      <c r="B337" s="10" t="s">
        <v>667</v>
      </c>
      <c r="C337" s="61"/>
      <c r="D337" s="8" t="s">
        <v>552</v>
      </c>
      <c r="E337" s="8" t="s">
        <v>552</v>
      </c>
      <c r="F337" s="8" t="s">
        <v>555</v>
      </c>
      <c r="H337" s="38" t="s">
        <v>26</v>
      </c>
      <c r="J337" s="4">
        <v>5</v>
      </c>
      <c r="K337" s="4"/>
      <c r="N337" s="22">
        <v>4.99</v>
      </c>
      <c r="P337" s="22">
        <v>4.91</v>
      </c>
      <c r="Q337" s="23"/>
      <c r="R337" s="23"/>
      <c r="S337" s="38" t="s">
        <v>26</v>
      </c>
      <c r="V337" s="22">
        <v>5</v>
      </c>
      <c r="X337" s="22">
        <v>4.93</v>
      </c>
      <c r="Y337" s="23"/>
      <c r="Z337" s="23"/>
      <c r="AA337" s="38" t="s">
        <v>26</v>
      </c>
      <c r="AD337" s="22">
        <v>5</v>
      </c>
      <c r="AF337" s="22">
        <v>4.96</v>
      </c>
      <c r="AG337" s="23"/>
      <c r="AH337" s="23"/>
      <c r="AI337" s="38" t="s">
        <v>26</v>
      </c>
      <c r="AL337" s="22">
        <v>5</v>
      </c>
      <c r="AN337" s="22">
        <v>4.96</v>
      </c>
      <c r="AO337" s="23"/>
      <c r="AP337" s="23"/>
      <c r="AQ337" s="38" t="s">
        <v>26</v>
      </c>
    </row>
    <row r="338" spans="2:46" ht="43.2" x14ac:dyDescent="0.3">
      <c r="B338" s="10" t="s">
        <v>668</v>
      </c>
      <c r="C338" s="61"/>
      <c r="D338" s="8" t="s">
        <v>552</v>
      </c>
      <c r="E338" s="8" t="s">
        <v>552</v>
      </c>
      <c r="F338" s="8" t="s">
        <v>556</v>
      </c>
      <c r="H338" s="38" t="s">
        <v>26</v>
      </c>
      <c r="J338" s="4">
        <v>2</v>
      </c>
      <c r="K338" s="4"/>
      <c r="N338" s="22">
        <v>1.93</v>
      </c>
      <c r="P338" s="22">
        <v>2</v>
      </c>
      <c r="Q338" s="23"/>
      <c r="R338" s="23"/>
      <c r="S338" s="38" t="s">
        <v>26</v>
      </c>
      <c r="V338" s="22">
        <v>1.93</v>
      </c>
      <c r="X338" s="22">
        <v>1.99</v>
      </c>
      <c r="Y338" s="23"/>
      <c r="Z338" s="23"/>
      <c r="AA338" s="38" t="s">
        <v>26</v>
      </c>
      <c r="AD338" s="22">
        <v>1.93</v>
      </c>
      <c r="AF338" s="22">
        <v>1.9950000000000001</v>
      </c>
      <c r="AG338" s="23"/>
      <c r="AH338" s="23"/>
      <c r="AI338" s="38" t="s">
        <v>26</v>
      </c>
      <c r="AL338" s="22">
        <v>1.93</v>
      </c>
      <c r="AN338" s="22">
        <v>1.9950000000000001</v>
      </c>
      <c r="AO338" s="23"/>
      <c r="AP338" s="23"/>
      <c r="AQ338" s="38" t="s">
        <v>26</v>
      </c>
    </row>
    <row r="339" spans="2:46" ht="43.2" x14ac:dyDescent="0.3">
      <c r="B339" s="10" t="s">
        <v>669</v>
      </c>
      <c r="C339" s="61"/>
      <c r="D339" s="8" t="s">
        <v>552</v>
      </c>
      <c r="E339" s="8" t="s">
        <v>552</v>
      </c>
      <c r="F339" s="8" t="s">
        <v>557</v>
      </c>
      <c r="H339" s="38" t="s">
        <v>26</v>
      </c>
      <c r="J339" s="4">
        <v>5</v>
      </c>
      <c r="K339" s="4"/>
      <c r="P339" s="22">
        <v>4.67</v>
      </c>
      <c r="Q339" s="23"/>
      <c r="R339" s="23"/>
      <c r="S339" s="38" t="s">
        <v>26</v>
      </c>
      <c r="X339" s="22">
        <v>4.7</v>
      </c>
      <c r="Y339" s="23"/>
      <c r="Z339" s="23"/>
      <c r="AA339" s="38" t="s">
        <v>26</v>
      </c>
      <c r="AF339" s="22">
        <v>4.8600000000000003</v>
      </c>
      <c r="AG339" s="23"/>
      <c r="AH339" s="23"/>
      <c r="AI339" s="38" t="s">
        <v>26</v>
      </c>
      <c r="AN339" s="22">
        <v>4.8600000000000003</v>
      </c>
      <c r="AO339" s="23"/>
      <c r="AP339" s="23"/>
      <c r="AQ339" s="38" t="s">
        <v>26</v>
      </c>
    </row>
    <row r="340" spans="2:46" ht="43.2" x14ac:dyDescent="0.3">
      <c r="B340" s="10" t="s">
        <v>670</v>
      </c>
      <c r="C340" s="61"/>
      <c r="D340" s="8" t="s">
        <v>552</v>
      </c>
      <c r="E340" s="8" t="s">
        <v>552</v>
      </c>
      <c r="F340" s="8" t="s">
        <v>558</v>
      </c>
      <c r="H340" s="38" t="s">
        <v>26</v>
      </c>
      <c r="J340" s="4">
        <v>5</v>
      </c>
      <c r="K340" s="4"/>
      <c r="N340" s="22">
        <v>5</v>
      </c>
      <c r="P340" s="22">
        <v>5</v>
      </c>
      <c r="Q340" s="23"/>
      <c r="R340" s="23"/>
      <c r="S340" s="38" t="s">
        <v>26</v>
      </c>
      <c r="V340" s="22">
        <v>4.99</v>
      </c>
      <c r="X340" s="22">
        <v>4.84</v>
      </c>
      <c r="Y340" s="27"/>
      <c r="Z340" s="27"/>
      <c r="AA340" s="38" t="s">
        <v>26</v>
      </c>
      <c r="AD340" s="22">
        <v>5</v>
      </c>
      <c r="AF340" s="22">
        <v>4.91</v>
      </c>
      <c r="AG340" s="23"/>
      <c r="AH340" s="27"/>
      <c r="AI340" s="38" t="s">
        <v>26</v>
      </c>
      <c r="AL340" s="22">
        <v>5</v>
      </c>
      <c r="AN340" s="22">
        <v>4.91</v>
      </c>
      <c r="AO340" s="23"/>
      <c r="AP340" s="23"/>
      <c r="AQ340" s="38" t="s">
        <v>26</v>
      </c>
    </row>
    <row r="341" spans="2:46" ht="43.2" x14ac:dyDescent="0.3">
      <c r="B341" s="10" t="s">
        <v>671</v>
      </c>
      <c r="C341" s="61"/>
      <c r="D341" s="8" t="s">
        <v>552</v>
      </c>
      <c r="E341" s="8" t="s">
        <v>552</v>
      </c>
      <c r="F341" s="8" t="s">
        <v>562</v>
      </c>
      <c r="H341" s="38" t="s">
        <v>26</v>
      </c>
      <c r="J341" s="4">
        <v>0.5</v>
      </c>
      <c r="K341" s="4"/>
      <c r="N341" s="22">
        <v>0.499</v>
      </c>
      <c r="P341" s="22">
        <v>0.497</v>
      </c>
      <c r="Q341" s="23"/>
      <c r="R341" s="23"/>
      <c r="S341" s="38" t="s">
        <v>26</v>
      </c>
      <c r="V341" s="22">
        <v>0.498</v>
      </c>
      <c r="X341" s="22">
        <v>0.498</v>
      </c>
      <c r="Y341" s="23"/>
      <c r="Z341" s="23"/>
      <c r="AA341" s="38" t="s">
        <v>26</v>
      </c>
      <c r="AD341" s="22">
        <v>0.502</v>
      </c>
      <c r="AF341" s="22">
        <v>0.498</v>
      </c>
      <c r="AG341" s="23"/>
      <c r="AH341" s="23"/>
      <c r="AI341" s="38" t="s">
        <v>26</v>
      </c>
      <c r="AL341" s="22">
        <v>0.502</v>
      </c>
      <c r="AN341" s="22">
        <v>0.498</v>
      </c>
      <c r="AO341" s="23"/>
      <c r="AP341" s="23"/>
      <c r="AQ341" s="38" t="s">
        <v>26</v>
      </c>
    </row>
    <row r="342" spans="2:46" ht="43.2" x14ac:dyDescent="0.3">
      <c r="B342" s="10" t="s">
        <v>672</v>
      </c>
      <c r="C342" s="61"/>
      <c r="D342" s="8" t="s">
        <v>552</v>
      </c>
      <c r="E342" s="8" t="s">
        <v>552</v>
      </c>
      <c r="F342" s="8" t="s">
        <v>563</v>
      </c>
      <c r="H342" s="38" t="s">
        <v>26</v>
      </c>
      <c r="J342" s="4">
        <v>5</v>
      </c>
      <c r="K342" s="4"/>
      <c r="P342" s="22" t="s">
        <v>571</v>
      </c>
      <c r="Q342" s="23"/>
      <c r="R342" s="23"/>
      <c r="S342" s="38" t="s">
        <v>26</v>
      </c>
      <c r="X342" s="22">
        <v>4.9400000000000004</v>
      </c>
      <c r="Y342" s="23"/>
      <c r="Z342" s="23"/>
      <c r="AA342" s="38" t="s">
        <v>26</v>
      </c>
      <c r="AF342" s="22">
        <v>4.97</v>
      </c>
      <c r="AG342" s="23"/>
      <c r="AH342" s="23"/>
      <c r="AI342" s="38" t="s">
        <v>26</v>
      </c>
      <c r="AN342" s="22">
        <v>4.97</v>
      </c>
      <c r="AO342" s="23"/>
      <c r="AP342" s="23"/>
      <c r="AQ342" s="38" t="s">
        <v>26</v>
      </c>
    </row>
    <row r="343" spans="2:46" ht="29.4" customHeight="1" x14ac:dyDescent="0.3">
      <c r="B343" s="10" t="s">
        <v>673</v>
      </c>
      <c r="C343" s="61"/>
      <c r="D343" s="8" t="s">
        <v>552</v>
      </c>
      <c r="E343" s="8" t="s">
        <v>552</v>
      </c>
      <c r="F343" s="8" t="s">
        <v>564</v>
      </c>
      <c r="H343" s="38" t="s">
        <v>26</v>
      </c>
      <c r="J343" s="4">
        <v>5</v>
      </c>
      <c r="K343" s="4"/>
      <c r="N343" s="22">
        <v>5</v>
      </c>
      <c r="P343" s="22">
        <v>4.96</v>
      </c>
      <c r="Q343" s="23"/>
      <c r="R343" s="23"/>
      <c r="S343" s="38" t="s">
        <v>26</v>
      </c>
      <c r="V343" s="22">
        <v>5</v>
      </c>
      <c r="X343" s="22">
        <v>4.9800000000000004</v>
      </c>
      <c r="Y343" s="23"/>
      <c r="Z343" s="23"/>
      <c r="AA343" s="38" t="s">
        <v>26</v>
      </c>
      <c r="AD343" s="22">
        <v>5</v>
      </c>
      <c r="AF343" s="22">
        <v>4.99</v>
      </c>
      <c r="AG343" s="23"/>
      <c r="AH343" s="23"/>
      <c r="AI343" s="38" t="s">
        <v>26</v>
      </c>
      <c r="AL343" s="22">
        <v>5</v>
      </c>
      <c r="AN343" s="22">
        <v>4.99</v>
      </c>
      <c r="AO343" s="23"/>
      <c r="AP343" s="23"/>
      <c r="AQ343" s="38" t="s">
        <v>26</v>
      </c>
    </row>
    <row r="344" spans="2:46" ht="43.2" x14ac:dyDescent="0.3">
      <c r="B344" s="10" t="s">
        <v>674</v>
      </c>
      <c r="C344" s="61"/>
      <c r="D344" s="8" t="s">
        <v>552</v>
      </c>
      <c r="E344" s="8" t="s">
        <v>552</v>
      </c>
      <c r="F344" s="8" t="s">
        <v>565</v>
      </c>
      <c r="H344" s="38" t="s">
        <v>26</v>
      </c>
      <c r="J344" s="4">
        <v>1</v>
      </c>
      <c r="K344" s="4"/>
      <c r="N344" s="22">
        <v>0.98799999999999999</v>
      </c>
      <c r="P344" s="22">
        <v>0.995</v>
      </c>
      <c r="Q344" s="23"/>
      <c r="R344" s="23"/>
      <c r="S344" s="38" t="s">
        <v>26</v>
      </c>
      <c r="V344" s="22">
        <v>0.98799999999999999</v>
      </c>
      <c r="X344" s="22">
        <v>0.995</v>
      </c>
      <c r="Y344" s="23"/>
      <c r="Z344" s="23"/>
      <c r="AA344" s="38" t="s">
        <v>26</v>
      </c>
      <c r="AD344" s="22">
        <v>0.99399999999999999</v>
      </c>
      <c r="AF344" s="22">
        <v>0.996</v>
      </c>
      <c r="AG344" s="23"/>
      <c r="AH344" s="23"/>
      <c r="AI344" s="38" t="s">
        <v>26</v>
      </c>
      <c r="AL344" s="22">
        <v>0.99399999999999999</v>
      </c>
      <c r="AN344" s="22">
        <v>0.996</v>
      </c>
      <c r="AO344" s="23"/>
      <c r="AP344" s="23"/>
      <c r="AQ344" s="38" t="s">
        <v>26</v>
      </c>
    </row>
    <row r="345" spans="2:46" ht="43.2" x14ac:dyDescent="0.3">
      <c r="B345" s="10" t="s">
        <v>675</v>
      </c>
      <c r="C345" s="61"/>
      <c r="D345" s="8" t="s">
        <v>552</v>
      </c>
      <c r="E345" s="8" t="s">
        <v>552</v>
      </c>
      <c r="F345" s="8" t="s">
        <v>566</v>
      </c>
      <c r="H345" s="38" t="s">
        <v>26</v>
      </c>
      <c r="J345" s="4">
        <v>5</v>
      </c>
      <c r="K345" s="4"/>
      <c r="P345" s="22">
        <v>4.8499999999999996</v>
      </c>
      <c r="Q345" s="23"/>
      <c r="R345" s="23"/>
      <c r="S345" s="38" t="s">
        <v>26</v>
      </c>
      <c r="X345" s="22">
        <v>4.8600000000000003</v>
      </c>
      <c r="Y345" s="23"/>
      <c r="Z345" s="23"/>
      <c r="AA345" s="38" t="s">
        <v>26</v>
      </c>
      <c r="AF345" s="22">
        <v>4.95</v>
      </c>
      <c r="AG345" s="23"/>
      <c r="AH345" s="23"/>
      <c r="AI345" s="38" t="s">
        <v>26</v>
      </c>
      <c r="AN345" s="22">
        <v>4.95</v>
      </c>
      <c r="AO345" s="23"/>
      <c r="AP345" s="23"/>
      <c r="AQ345" s="38" t="s">
        <v>26</v>
      </c>
    </row>
    <row r="346" spans="2:46" ht="29.4" customHeight="1" x14ac:dyDescent="0.3">
      <c r="B346" s="10" t="s">
        <v>676</v>
      </c>
      <c r="C346" s="61"/>
      <c r="D346" s="8" t="s">
        <v>552</v>
      </c>
      <c r="E346" s="8" t="s">
        <v>552</v>
      </c>
      <c r="F346" s="8" t="s">
        <v>567</v>
      </c>
      <c r="H346" s="38" t="s">
        <v>26</v>
      </c>
      <c r="J346" s="4">
        <v>5</v>
      </c>
      <c r="K346" s="4"/>
      <c r="N346" s="22">
        <v>4.99</v>
      </c>
      <c r="P346" s="22">
        <v>4.92</v>
      </c>
      <c r="Q346" s="23"/>
      <c r="R346" s="23"/>
      <c r="S346" s="38" t="s">
        <v>26</v>
      </c>
      <c r="V346" s="22">
        <v>5</v>
      </c>
      <c r="X346" s="22">
        <v>4.93</v>
      </c>
      <c r="Y346" s="23"/>
      <c r="Z346" s="23"/>
      <c r="AA346" s="38" t="s">
        <v>26</v>
      </c>
      <c r="AD346" s="22">
        <v>5</v>
      </c>
      <c r="AF346" s="22">
        <v>4.97</v>
      </c>
      <c r="AG346" s="23"/>
      <c r="AH346" s="23"/>
      <c r="AI346" s="38" t="s">
        <v>26</v>
      </c>
      <c r="AL346" s="22">
        <v>5</v>
      </c>
      <c r="AN346" s="22">
        <v>4.97</v>
      </c>
      <c r="AO346" s="23"/>
      <c r="AP346" s="23"/>
      <c r="AQ346" s="38" t="s">
        <v>26</v>
      </c>
    </row>
    <row r="347" spans="2:46" ht="43.2" x14ac:dyDescent="0.3">
      <c r="B347" s="10" t="s">
        <v>677</v>
      </c>
      <c r="C347" s="61"/>
      <c r="D347" s="8" t="s">
        <v>552</v>
      </c>
      <c r="E347" s="8" t="s">
        <v>552</v>
      </c>
      <c r="F347" s="8" t="s">
        <v>568</v>
      </c>
      <c r="H347" s="38" t="s">
        <v>26</v>
      </c>
      <c r="J347" s="4">
        <v>2</v>
      </c>
      <c r="K347" s="4"/>
      <c r="N347" s="22">
        <v>1.93</v>
      </c>
      <c r="P347" s="22">
        <v>1.99</v>
      </c>
      <c r="Q347" s="23"/>
      <c r="R347" s="23"/>
      <c r="S347" s="38" t="s">
        <v>26</v>
      </c>
      <c r="V347" s="22">
        <v>1.91</v>
      </c>
      <c r="X347" s="22">
        <v>1.99</v>
      </c>
      <c r="Y347" s="23"/>
      <c r="Z347" s="23"/>
      <c r="AA347" s="38" t="s">
        <v>26</v>
      </c>
      <c r="AD347" s="22">
        <v>1.9950000000000001</v>
      </c>
      <c r="AF347" s="22">
        <v>1.992</v>
      </c>
      <c r="AG347" s="23"/>
      <c r="AH347" s="23"/>
      <c r="AI347" s="38" t="s">
        <v>26</v>
      </c>
      <c r="AL347" s="22">
        <v>1.9950000000000001</v>
      </c>
      <c r="AN347" s="22">
        <v>1.992</v>
      </c>
      <c r="AO347" s="23"/>
      <c r="AP347" s="23"/>
      <c r="AQ347" s="38" t="s">
        <v>26</v>
      </c>
    </row>
    <row r="348" spans="2:46" ht="43.2" x14ac:dyDescent="0.3">
      <c r="B348" s="10" t="s">
        <v>678</v>
      </c>
      <c r="C348" s="61"/>
      <c r="D348" s="8" t="s">
        <v>552</v>
      </c>
      <c r="E348" s="8" t="s">
        <v>552</v>
      </c>
      <c r="F348" s="8" t="s">
        <v>569</v>
      </c>
      <c r="H348" s="38" t="s">
        <v>26</v>
      </c>
      <c r="J348" s="4">
        <v>5</v>
      </c>
      <c r="K348" s="4"/>
      <c r="P348" s="22">
        <v>4.68</v>
      </c>
      <c r="Q348" s="23"/>
      <c r="R348" s="23"/>
      <c r="S348" s="38" t="s">
        <v>26</v>
      </c>
      <c r="X348" s="22">
        <v>4.72</v>
      </c>
      <c r="Y348" s="23"/>
      <c r="Z348" s="23"/>
      <c r="AA348" s="38" t="s">
        <v>26</v>
      </c>
      <c r="AF348" s="22">
        <v>4.88</v>
      </c>
      <c r="AG348" s="23"/>
      <c r="AH348" s="23"/>
      <c r="AI348" s="38" t="s">
        <v>26</v>
      </c>
      <c r="AN348" s="22">
        <v>4.88</v>
      </c>
      <c r="AO348" s="23"/>
      <c r="AP348" s="23"/>
      <c r="AQ348" s="38" t="s">
        <v>26</v>
      </c>
    </row>
    <row r="349" spans="2:46" ht="29.4" customHeight="1" x14ac:dyDescent="0.3">
      <c r="B349" s="10" t="s">
        <v>679</v>
      </c>
      <c r="C349" s="62"/>
      <c r="D349" s="8" t="s">
        <v>552</v>
      </c>
      <c r="E349" s="8" t="s">
        <v>552</v>
      </c>
      <c r="F349" s="8" t="s">
        <v>570</v>
      </c>
      <c r="H349" s="38" t="s">
        <v>26</v>
      </c>
      <c r="J349" s="4">
        <v>5</v>
      </c>
      <c r="K349" s="4"/>
      <c r="N349" s="22">
        <v>4.99</v>
      </c>
      <c r="P349" s="22">
        <v>4.83</v>
      </c>
      <c r="Q349" s="23"/>
      <c r="R349" s="23"/>
      <c r="S349" s="38" t="s">
        <v>26</v>
      </c>
      <c r="V349" s="22">
        <v>4.99</v>
      </c>
      <c r="X349" s="22">
        <v>4.8499999999999996</v>
      </c>
      <c r="Y349" s="23"/>
      <c r="Z349" s="23"/>
      <c r="AA349" s="38" t="s">
        <v>26</v>
      </c>
      <c r="AD349" s="22">
        <v>4.99</v>
      </c>
      <c r="AF349" s="22">
        <v>4.93</v>
      </c>
      <c r="AG349" s="23"/>
      <c r="AH349" s="23"/>
      <c r="AI349" s="38" t="s">
        <v>26</v>
      </c>
      <c r="AL349" s="22">
        <v>4.99</v>
      </c>
      <c r="AN349" s="22">
        <v>4.93</v>
      </c>
      <c r="AO349" s="23"/>
      <c r="AP349" s="23"/>
      <c r="AQ349" s="38" t="s">
        <v>26</v>
      </c>
    </row>
    <row r="350" spans="2:46" ht="10.050000000000001" customHeight="1" x14ac:dyDescent="0.3">
      <c r="B350" s="11"/>
      <c r="C350" s="13"/>
      <c r="D350" s="14"/>
      <c r="E350" s="11"/>
      <c r="F350" s="14"/>
      <c r="G350" s="14"/>
      <c r="H350" s="2"/>
      <c r="J350" s="6"/>
      <c r="K350" s="2"/>
      <c r="L350" s="2"/>
      <c r="N350" s="24"/>
      <c r="O350" s="24"/>
      <c r="P350" s="24"/>
      <c r="Q350" s="2"/>
      <c r="R350" s="2"/>
      <c r="S350" s="24"/>
      <c r="T350" s="25"/>
      <c r="V350" s="24"/>
      <c r="W350" s="24"/>
      <c r="X350" s="24"/>
      <c r="Y350" s="2"/>
      <c r="Z350" s="2"/>
      <c r="AA350" s="24"/>
      <c r="AB350" s="25"/>
      <c r="AD350" s="24"/>
      <c r="AE350" s="24"/>
      <c r="AF350" s="24"/>
      <c r="AG350" s="2"/>
      <c r="AH350" s="2"/>
      <c r="AI350" s="24"/>
      <c r="AJ350" s="25"/>
      <c r="AL350" s="24"/>
      <c r="AM350" s="24"/>
      <c r="AN350" s="24"/>
      <c r="AO350" s="2"/>
      <c r="AP350" s="2"/>
      <c r="AQ350" s="24"/>
      <c r="AR350" s="25"/>
      <c r="AT350" s="15"/>
    </row>
    <row r="351" spans="2:46" ht="57.6" x14ac:dyDescent="0.3">
      <c r="B351" s="10" t="s">
        <v>347</v>
      </c>
      <c r="C351" s="76" t="s">
        <v>319</v>
      </c>
      <c r="D351" s="7" t="s">
        <v>14</v>
      </c>
      <c r="E351" s="8" t="s">
        <v>75</v>
      </c>
      <c r="F351" s="8" t="s">
        <v>540</v>
      </c>
      <c r="G351" s="8" t="s">
        <v>117</v>
      </c>
      <c r="H351" s="38" t="s">
        <v>26</v>
      </c>
      <c r="Q351" s="27"/>
      <c r="S351" s="38" t="s">
        <v>26</v>
      </c>
      <c r="Y351" s="27"/>
      <c r="AA351" s="38" t="s">
        <v>26</v>
      </c>
      <c r="AG351" s="27"/>
      <c r="AI351" s="38" t="s">
        <v>26</v>
      </c>
      <c r="AO351" s="27"/>
      <c r="AQ351" s="38" t="s">
        <v>26</v>
      </c>
    </row>
    <row r="352" spans="2:46" ht="28.8" x14ac:dyDescent="0.3">
      <c r="B352" s="10" t="s">
        <v>348</v>
      </c>
      <c r="C352" s="77"/>
      <c r="D352" s="7" t="s">
        <v>14</v>
      </c>
      <c r="E352" s="8" t="s">
        <v>75</v>
      </c>
      <c r="F352" s="8" t="s">
        <v>543</v>
      </c>
      <c r="G352" s="8" t="s">
        <v>118</v>
      </c>
      <c r="H352" s="38" t="s">
        <v>26</v>
      </c>
      <c r="S352" s="38" t="s">
        <v>26</v>
      </c>
      <c r="AA352" s="38" t="s">
        <v>26</v>
      </c>
      <c r="AI352" s="38" t="s">
        <v>26</v>
      </c>
      <c r="AQ352" s="38" t="s">
        <v>26</v>
      </c>
    </row>
    <row r="353" spans="2:46" ht="28.8" x14ac:dyDescent="0.3">
      <c r="B353" s="10" t="s">
        <v>349</v>
      </c>
      <c r="C353" s="77"/>
      <c r="D353" s="7" t="s">
        <v>14</v>
      </c>
      <c r="E353" s="8" t="s">
        <v>75</v>
      </c>
      <c r="F353" s="8" t="s">
        <v>541</v>
      </c>
      <c r="G353" s="8" t="s">
        <v>119</v>
      </c>
      <c r="H353" s="38" t="s">
        <v>26</v>
      </c>
      <c r="Q353" s="27"/>
      <c r="S353" s="38" t="s">
        <v>26</v>
      </c>
      <c r="Y353" s="27"/>
      <c r="AA353" s="38" t="s">
        <v>26</v>
      </c>
      <c r="AG353" s="27"/>
      <c r="AI353" s="38" t="s">
        <v>26</v>
      </c>
      <c r="AO353" s="27"/>
      <c r="AQ353" s="38" t="s">
        <v>26</v>
      </c>
    </row>
    <row r="354" spans="2:46" ht="28.8" x14ac:dyDescent="0.3">
      <c r="B354" s="10" t="s">
        <v>350</v>
      </c>
      <c r="C354" s="77"/>
      <c r="D354" s="7" t="s">
        <v>63</v>
      </c>
      <c r="E354" s="8" t="s">
        <v>63</v>
      </c>
      <c r="F354" s="8" t="s">
        <v>121</v>
      </c>
      <c r="G354" s="8" t="s">
        <v>12</v>
      </c>
      <c r="H354" s="38" t="s">
        <v>26</v>
      </c>
      <c r="S354" s="38" t="s">
        <v>26</v>
      </c>
      <c r="AA354" s="38" t="s">
        <v>26</v>
      </c>
      <c r="AI354" s="38" t="s">
        <v>26</v>
      </c>
      <c r="AQ354" s="38" t="s">
        <v>26</v>
      </c>
    </row>
    <row r="355" spans="2:46" x14ac:dyDescent="0.3">
      <c r="B355" s="10" t="s">
        <v>351</v>
      </c>
      <c r="C355" s="77"/>
      <c r="D355" s="7" t="s">
        <v>22</v>
      </c>
      <c r="E355" s="7" t="s">
        <v>22</v>
      </c>
      <c r="F355" s="8" t="s">
        <v>62</v>
      </c>
      <c r="G355" s="8" t="s">
        <v>345</v>
      </c>
      <c r="H355" s="38" t="s">
        <v>26</v>
      </c>
      <c r="Q355" s="27"/>
      <c r="S355" s="38" t="s">
        <v>26</v>
      </c>
      <c r="Y355" s="27"/>
      <c r="AA355" s="38" t="s">
        <v>26</v>
      </c>
      <c r="AG355" s="27"/>
      <c r="AI355" s="38" t="s">
        <v>26</v>
      </c>
      <c r="AO355" s="27"/>
      <c r="AQ355" s="38" t="s">
        <v>26</v>
      </c>
    </row>
    <row r="356" spans="2:46" x14ac:dyDescent="0.3">
      <c r="B356" s="10" t="s">
        <v>352</v>
      </c>
      <c r="C356" s="77"/>
      <c r="D356" s="7" t="s">
        <v>16</v>
      </c>
      <c r="E356" s="7" t="s">
        <v>123</v>
      </c>
      <c r="F356" s="8" t="s">
        <v>122</v>
      </c>
      <c r="G356" s="8" t="s">
        <v>77</v>
      </c>
      <c r="H356" s="38" t="s">
        <v>26</v>
      </c>
      <c r="S356" s="38" t="s">
        <v>26</v>
      </c>
      <c r="AA356" s="38" t="s">
        <v>26</v>
      </c>
      <c r="AI356" s="38" t="s">
        <v>26</v>
      </c>
      <c r="AQ356" s="38" t="s">
        <v>26</v>
      </c>
    </row>
    <row r="357" spans="2:46" ht="10.050000000000001" customHeight="1" x14ac:dyDescent="0.3">
      <c r="B357" s="11"/>
      <c r="C357" s="13"/>
      <c r="D357" s="14"/>
      <c r="E357" s="11"/>
      <c r="F357" s="14"/>
      <c r="G357" s="14"/>
      <c r="H357" s="2"/>
      <c r="J357" s="6"/>
      <c r="K357" s="2"/>
      <c r="L357" s="2"/>
      <c r="N357" s="2"/>
      <c r="O357" s="2"/>
      <c r="P357" s="2"/>
      <c r="Q357" s="2"/>
      <c r="R357" s="2"/>
      <c r="S357" s="2"/>
      <c r="T357" s="2"/>
      <c r="V357" s="2"/>
      <c r="W357" s="2"/>
      <c r="X357" s="2"/>
      <c r="Y357" s="2"/>
      <c r="Z357" s="2"/>
      <c r="AA357" s="2"/>
      <c r="AB357" s="2"/>
      <c r="AD357" s="2"/>
      <c r="AE357" s="2"/>
      <c r="AF357" s="2"/>
      <c r="AG357" s="2"/>
      <c r="AH357" s="2"/>
      <c r="AI357" s="2"/>
      <c r="AJ357" s="2"/>
      <c r="AL357" s="2"/>
      <c r="AM357" s="2"/>
      <c r="AN357" s="2"/>
      <c r="AO357" s="2"/>
      <c r="AP357" s="2"/>
      <c r="AQ357" s="2"/>
      <c r="AR357" s="2"/>
      <c r="AT357" s="15"/>
    </row>
    <row r="358" spans="2:46" ht="14.4" customHeight="1" x14ac:dyDescent="0.3">
      <c r="B358" s="10" t="s">
        <v>67</v>
      </c>
      <c r="C358" s="63" t="s">
        <v>346</v>
      </c>
      <c r="D358" s="7" t="s">
        <v>16</v>
      </c>
      <c r="E358" s="8" t="s">
        <v>16</v>
      </c>
      <c r="F358" s="8" t="s">
        <v>66</v>
      </c>
      <c r="G358" s="8" t="s">
        <v>18</v>
      </c>
      <c r="H358" s="38" t="s">
        <v>26</v>
      </c>
      <c r="S358" s="38" t="s">
        <v>26</v>
      </c>
      <c r="AA358" s="38" t="s">
        <v>26</v>
      </c>
      <c r="AI358" s="38" t="s">
        <v>26</v>
      </c>
      <c r="AQ358" s="38" t="s">
        <v>26</v>
      </c>
    </row>
    <row r="359" spans="2:46" ht="14.4" customHeight="1" x14ac:dyDescent="0.3">
      <c r="B359" s="10" t="s">
        <v>68</v>
      </c>
      <c r="C359" s="64"/>
      <c r="D359" s="7" t="s">
        <v>65</v>
      </c>
      <c r="E359" s="7" t="s">
        <v>65</v>
      </c>
      <c r="F359" s="8" t="s">
        <v>136</v>
      </c>
      <c r="G359" s="8" t="s">
        <v>18</v>
      </c>
      <c r="H359" s="38" t="s">
        <v>26</v>
      </c>
      <c r="S359" s="38" t="s">
        <v>26</v>
      </c>
      <c r="AA359" s="38" t="s">
        <v>26</v>
      </c>
      <c r="AI359" s="38" t="s">
        <v>26</v>
      </c>
      <c r="AQ359" s="38" t="s">
        <v>26</v>
      </c>
    </row>
    <row r="360" spans="2:46" ht="14.4" customHeight="1" x14ac:dyDescent="0.3">
      <c r="B360" s="10" t="s">
        <v>132</v>
      </c>
      <c r="C360" s="64"/>
      <c r="D360" s="7" t="s">
        <v>91</v>
      </c>
      <c r="E360" s="7" t="s">
        <v>91</v>
      </c>
      <c r="F360" s="8" t="s">
        <v>135</v>
      </c>
      <c r="G360" s="8" t="s">
        <v>18</v>
      </c>
      <c r="H360" s="38" t="s">
        <v>26</v>
      </c>
      <c r="S360" s="38" t="s">
        <v>26</v>
      </c>
      <c r="AA360" s="38" t="s">
        <v>26</v>
      </c>
      <c r="AI360" s="38" t="s">
        <v>26</v>
      </c>
      <c r="AQ360" s="38" t="s">
        <v>26</v>
      </c>
    </row>
    <row r="361" spans="2:46" ht="18" customHeight="1" x14ac:dyDescent="0.3">
      <c r="B361" s="10" t="s">
        <v>133</v>
      </c>
      <c r="C361" s="64"/>
      <c r="D361" s="7" t="s">
        <v>92</v>
      </c>
      <c r="E361" s="7" t="s">
        <v>92</v>
      </c>
      <c r="F361" s="8" t="s">
        <v>137</v>
      </c>
      <c r="G361" s="8" t="s">
        <v>18</v>
      </c>
      <c r="H361" s="38" t="s">
        <v>26</v>
      </c>
      <c r="S361" s="38" t="s">
        <v>26</v>
      </c>
      <c r="AA361" s="38" t="s">
        <v>26</v>
      </c>
      <c r="AI361" s="38" t="s">
        <v>26</v>
      </c>
      <c r="AQ361" s="38" t="s">
        <v>26</v>
      </c>
    </row>
    <row r="362" spans="2:46" ht="18" customHeight="1" x14ac:dyDescent="0.3">
      <c r="B362" s="10" t="s">
        <v>134</v>
      </c>
      <c r="C362" s="64"/>
      <c r="D362" s="7" t="s">
        <v>93</v>
      </c>
      <c r="E362" s="7" t="s">
        <v>93</v>
      </c>
      <c r="F362" s="8" t="s">
        <v>138</v>
      </c>
      <c r="G362" s="8" t="s">
        <v>18</v>
      </c>
      <c r="H362" s="38" t="s">
        <v>26</v>
      </c>
      <c r="S362" s="38" t="s">
        <v>26</v>
      </c>
      <c r="AA362" s="38" t="s">
        <v>26</v>
      </c>
      <c r="AI362" s="38" t="s">
        <v>26</v>
      </c>
      <c r="AQ362" s="38" t="s">
        <v>26</v>
      </c>
    </row>
    <row r="363" spans="2:46" ht="18" customHeight="1" x14ac:dyDescent="0.3">
      <c r="B363" s="10" t="s">
        <v>140</v>
      </c>
      <c r="C363" s="65"/>
      <c r="D363" s="7" t="s">
        <v>85</v>
      </c>
      <c r="E363" s="7" t="s">
        <v>85</v>
      </c>
      <c r="F363" s="8" t="s">
        <v>139</v>
      </c>
      <c r="G363" s="8" t="s">
        <v>18</v>
      </c>
    </row>
    <row r="364" spans="2:46" ht="10.050000000000001" customHeight="1" x14ac:dyDescent="0.3">
      <c r="B364" s="11"/>
      <c r="C364" s="13"/>
      <c r="D364" s="14"/>
      <c r="E364" s="11"/>
      <c r="F364" s="14"/>
      <c r="G364" s="14"/>
      <c r="H364" s="2"/>
      <c r="J364" s="6"/>
      <c r="K364" s="2"/>
      <c r="L364" s="2"/>
      <c r="N364" s="2"/>
      <c r="O364" s="2"/>
      <c r="P364" s="2"/>
      <c r="Q364" s="2"/>
      <c r="R364" s="2"/>
      <c r="S364" s="2"/>
      <c r="T364" s="2"/>
      <c r="V364" s="2"/>
      <c r="W364" s="2"/>
      <c r="X364" s="2"/>
      <c r="Y364" s="2"/>
      <c r="Z364" s="2"/>
      <c r="AA364" s="2"/>
      <c r="AB364" s="2"/>
      <c r="AD364" s="2"/>
      <c r="AE364" s="2"/>
      <c r="AF364" s="2"/>
      <c r="AG364" s="2"/>
      <c r="AH364" s="2"/>
      <c r="AI364" s="2"/>
      <c r="AJ364" s="2"/>
      <c r="AL364" s="2"/>
      <c r="AM364" s="2"/>
      <c r="AN364" s="2"/>
      <c r="AO364" s="2"/>
      <c r="AP364" s="2"/>
      <c r="AQ364" s="2"/>
      <c r="AR364" s="2"/>
      <c r="AT364" s="15"/>
    </row>
  </sheetData>
  <mergeCells count="21">
    <mergeCell ref="C70:C349"/>
    <mergeCell ref="AT275:AT290"/>
    <mergeCell ref="C358:C363"/>
    <mergeCell ref="B1:B2"/>
    <mergeCell ref="J1:J2"/>
    <mergeCell ref="K1:K2"/>
    <mergeCell ref="L1:L2"/>
    <mergeCell ref="H1:H2"/>
    <mergeCell ref="G1:G2"/>
    <mergeCell ref="V1:AB1"/>
    <mergeCell ref="C8:C68"/>
    <mergeCell ref="C351:C356"/>
    <mergeCell ref="N1:T1"/>
    <mergeCell ref="C3:C6"/>
    <mergeCell ref="C1:C2"/>
    <mergeCell ref="D1:D2"/>
    <mergeCell ref="F1:F2"/>
    <mergeCell ref="AD1:AJ1"/>
    <mergeCell ref="AT310:AT329"/>
    <mergeCell ref="E1:E2"/>
    <mergeCell ref="AL1:AR1"/>
  </mergeCells>
  <phoneticPr fontId="4" type="noConversion"/>
  <conditionalFormatting sqref="H3:H6 T153 V236:W356 Q307:R309 Q330:R349 AA350:AB350">
    <cfRule type="containsText" dxfId="1032" priority="4114" operator="containsText" text="clarification">
      <formula>NOT(ISERROR(SEARCH("clarification",H3)))</formula>
    </cfRule>
    <cfRule type="containsText" dxfId="1031" priority="4115" operator="containsText" text="N/A">
      <formula>NOT(ISERROR(SEARCH("N/A",H3)))</formula>
    </cfRule>
    <cfRule type="containsText" dxfId="1030" priority="4116" operator="containsText" text="done">
      <formula>NOT(ISERROR(SEARCH("done",H3)))</formula>
    </cfRule>
    <cfRule type="containsText" dxfId="1029" priority="4117" operator="containsText" text="ready">
      <formula>NOT(ISERROR(SEARCH("ready",H3)))</formula>
    </cfRule>
  </conditionalFormatting>
  <conditionalFormatting sqref="H8:H30 H70:H349">
    <cfRule type="containsText" dxfId="1028" priority="4078" operator="containsText" text="progress">
      <formula>NOT(ISERROR(SEARCH("progress",H8)))</formula>
    </cfRule>
    <cfRule type="containsText" dxfId="1027" priority="4079" operator="containsText" text="clarification">
      <formula>NOT(ISERROR(SEARCH("clarification",H8)))</formula>
    </cfRule>
    <cfRule type="containsText" dxfId="1026" priority="4080" operator="containsText" text="N/A">
      <formula>NOT(ISERROR(SEARCH("N/A",H8)))</formula>
    </cfRule>
    <cfRule type="containsText" dxfId="1025" priority="4081" operator="containsText" text="done">
      <formula>NOT(ISERROR(SEARCH("done",H8)))</formula>
    </cfRule>
    <cfRule type="containsText" dxfId="1024" priority="4082" operator="containsText" text="ready">
      <formula>NOT(ISERROR(SEARCH("ready",H8)))</formula>
    </cfRule>
  </conditionalFormatting>
  <conditionalFormatting sqref="H31:H53">
    <cfRule type="containsText" dxfId="1023" priority="4193" operator="containsText" text="progress">
      <formula>NOT(ISERROR(SEARCH("progress",H31)))</formula>
    </cfRule>
    <cfRule type="containsText" dxfId="1022" priority="4194" operator="containsText" text="clarification">
      <formula>NOT(ISERROR(SEARCH("clarification",H31)))</formula>
    </cfRule>
    <cfRule type="containsText" dxfId="1021" priority="4195" operator="containsText" text="N/A">
      <formula>NOT(ISERROR(SEARCH("N/A",H31)))</formula>
    </cfRule>
    <cfRule type="containsText" dxfId="1020" priority="4196" operator="containsText" text="done">
      <formula>NOT(ISERROR(SEARCH("done",H31)))</formula>
    </cfRule>
    <cfRule type="containsText" dxfId="1019" priority="4197" operator="containsText" text="ready">
      <formula>NOT(ISERROR(SEARCH("ready",H31)))</formula>
    </cfRule>
  </conditionalFormatting>
  <conditionalFormatting sqref="H52">
    <cfRule type="containsText" dxfId="1018" priority="4188" operator="containsText" text="progress">
      <formula>NOT(ISERROR(SEARCH("progress",H52)))</formula>
    </cfRule>
    <cfRule type="containsText" dxfId="1017" priority="4189" operator="containsText" text="clarification">
      <formula>NOT(ISERROR(SEARCH("clarification",H52)))</formula>
    </cfRule>
    <cfRule type="containsText" dxfId="1016" priority="4190" operator="containsText" text="N/A">
      <formula>NOT(ISERROR(SEARCH("N/A",H52)))</formula>
    </cfRule>
    <cfRule type="containsText" dxfId="1015" priority="4191" operator="containsText" text="done">
      <formula>NOT(ISERROR(SEARCH("done",H52)))</formula>
    </cfRule>
    <cfRule type="containsText" dxfId="1014" priority="4192" operator="containsText" text="ready">
      <formula>NOT(ISERROR(SEARCH("ready",H52)))</formula>
    </cfRule>
  </conditionalFormatting>
  <conditionalFormatting sqref="H53:H54">
    <cfRule type="containsText" dxfId="1013" priority="4203" operator="containsText" text="progress">
      <formula>NOT(ISERROR(SEARCH("progress",H53)))</formula>
    </cfRule>
    <cfRule type="containsText" dxfId="1012" priority="4204" operator="containsText" text="clarification">
      <formula>NOT(ISERROR(SEARCH("clarification",H53)))</formula>
    </cfRule>
    <cfRule type="containsText" dxfId="1011" priority="4205" operator="containsText" text="N/A">
      <formula>NOT(ISERROR(SEARCH("N/A",H53)))</formula>
    </cfRule>
    <cfRule type="containsText" dxfId="1010" priority="4206" operator="containsText" text="done">
      <formula>NOT(ISERROR(SEARCH("done",H53)))</formula>
    </cfRule>
    <cfRule type="containsText" dxfId="1009" priority="4207" operator="containsText" text="ready">
      <formula>NOT(ISERROR(SEARCH("ready",H53)))</formula>
    </cfRule>
  </conditionalFormatting>
  <conditionalFormatting sqref="H54:H55">
    <cfRule type="containsText" dxfId="1008" priority="4213" operator="containsText" text="progress">
      <formula>NOT(ISERROR(SEARCH("progress",H54)))</formula>
    </cfRule>
    <cfRule type="containsText" dxfId="1007" priority="4214" operator="containsText" text="clarification">
      <formula>NOT(ISERROR(SEARCH("clarification",H54)))</formula>
    </cfRule>
    <cfRule type="containsText" dxfId="1006" priority="4215" operator="containsText" text="N/A">
      <formula>NOT(ISERROR(SEARCH("N/A",H54)))</formula>
    </cfRule>
    <cfRule type="containsText" dxfId="1005" priority="4216" operator="containsText" text="done">
      <formula>NOT(ISERROR(SEARCH("done",H54)))</formula>
    </cfRule>
    <cfRule type="containsText" dxfId="1004" priority="4217" operator="containsText" text="ready">
      <formula>NOT(ISERROR(SEARCH("ready",H54)))</formula>
    </cfRule>
  </conditionalFormatting>
  <conditionalFormatting sqref="H55:H56">
    <cfRule type="containsText" dxfId="1003" priority="4223" operator="containsText" text="progress">
      <formula>NOT(ISERROR(SEARCH("progress",H55)))</formula>
    </cfRule>
    <cfRule type="containsText" dxfId="1002" priority="4224" operator="containsText" text="clarification">
      <formula>NOT(ISERROR(SEARCH("clarification",H55)))</formula>
    </cfRule>
    <cfRule type="containsText" dxfId="1001" priority="4225" operator="containsText" text="N/A">
      <formula>NOT(ISERROR(SEARCH("N/A",H55)))</formula>
    </cfRule>
    <cfRule type="containsText" dxfId="1000" priority="4226" operator="containsText" text="done">
      <formula>NOT(ISERROR(SEARCH("done",H55)))</formula>
    </cfRule>
    <cfRule type="containsText" dxfId="999" priority="4227" operator="containsText" text="ready">
      <formula>NOT(ISERROR(SEARCH("ready",H55)))</formula>
    </cfRule>
  </conditionalFormatting>
  <conditionalFormatting sqref="H56">
    <cfRule type="containsText" dxfId="998" priority="4233" operator="containsText" text="progress">
      <formula>NOT(ISERROR(SEARCH("progress",H56)))</formula>
    </cfRule>
    <cfRule type="containsText" dxfId="997" priority="4234" operator="containsText" text="clarification">
      <formula>NOT(ISERROR(SEARCH("clarification",H56)))</formula>
    </cfRule>
    <cfRule type="containsText" dxfId="996" priority="4235" operator="containsText" text="N/A">
      <formula>NOT(ISERROR(SEARCH("N/A",H56)))</formula>
    </cfRule>
    <cfRule type="containsText" dxfId="995" priority="4236" operator="containsText" text="done">
      <formula>NOT(ISERROR(SEARCH("done",H56)))</formula>
    </cfRule>
    <cfRule type="containsText" dxfId="994" priority="4237" operator="containsText" text="ready">
      <formula>NOT(ISERROR(SEARCH("ready",H56)))</formula>
    </cfRule>
  </conditionalFormatting>
  <conditionalFormatting sqref="H57:H68">
    <cfRule type="containsText" dxfId="993" priority="4178" operator="containsText" text="progress">
      <formula>NOT(ISERROR(SEARCH("progress",H57)))</formula>
    </cfRule>
    <cfRule type="containsText" dxfId="992" priority="4179" operator="containsText" text="clarification">
      <formula>NOT(ISERROR(SEARCH("clarification",H57)))</formula>
    </cfRule>
    <cfRule type="containsText" dxfId="991" priority="4180" operator="containsText" text="N/A">
      <formula>NOT(ISERROR(SEARCH("N/A",H57)))</formula>
    </cfRule>
    <cfRule type="containsText" dxfId="990" priority="4181" operator="containsText" text="done">
      <formula>NOT(ISERROR(SEARCH("done",H57)))</formula>
    </cfRule>
    <cfRule type="containsText" dxfId="989" priority="4182" operator="containsText" text="ready">
      <formula>NOT(ISERROR(SEARCH("ready",H57)))</formula>
    </cfRule>
    <cfRule type="containsText" dxfId="988" priority="4183" operator="containsText" text="progress">
      <formula>NOT(ISERROR(SEARCH("progress",H57)))</formula>
    </cfRule>
    <cfRule type="containsText" dxfId="987" priority="4184" operator="containsText" text="clarification">
      <formula>NOT(ISERROR(SEARCH("clarification",H57)))</formula>
    </cfRule>
    <cfRule type="containsText" dxfId="986" priority="4185" operator="containsText" text="N/A">
      <formula>NOT(ISERROR(SEARCH("N/A",H57)))</formula>
    </cfRule>
    <cfRule type="containsText" dxfId="985" priority="4186" operator="containsText" text="done">
      <formula>NOT(ISERROR(SEARCH("done",H57)))</formula>
    </cfRule>
    <cfRule type="containsText" dxfId="984" priority="4187" operator="containsText" text="ready">
      <formula>NOT(ISERROR(SEARCH("ready",H57)))</formula>
    </cfRule>
  </conditionalFormatting>
  <conditionalFormatting sqref="H351:H356">
    <cfRule type="containsText" dxfId="983" priority="3481" operator="containsText" text="progress">
      <formula>NOT(ISERROR(SEARCH("progress",H351)))</formula>
    </cfRule>
    <cfRule type="containsText" dxfId="982" priority="3482" operator="containsText" text="clarification">
      <formula>NOT(ISERROR(SEARCH("clarification",H351)))</formula>
    </cfRule>
    <cfRule type="containsText" dxfId="981" priority="3483" operator="containsText" text="N/A">
      <formula>NOT(ISERROR(SEARCH("N/A",H351)))</formula>
    </cfRule>
    <cfRule type="containsText" dxfId="980" priority="3484" operator="containsText" text="done">
      <formula>NOT(ISERROR(SEARCH("done",H351)))</formula>
    </cfRule>
    <cfRule type="containsText" dxfId="979" priority="3485" operator="containsText" text="ready">
      <formula>NOT(ISERROR(SEARCH("ready",H351)))</formula>
    </cfRule>
  </conditionalFormatting>
  <conditionalFormatting sqref="H358:H362">
    <cfRule type="containsText" dxfId="978" priority="3266" operator="containsText" text="progress">
      <formula>NOT(ISERROR(SEARCH("progress",H358)))</formula>
    </cfRule>
    <cfRule type="containsText" dxfId="977" priority="3267" operator="containsText" text="clarification">
      <formula>NOT(ISERROR(SEARCH("clarification",H358)))</formula>
    </cfRule>
    <cfRule type="containsText" dxfId="976" priority="3268" operator="containsText" text="N/A">
      <formula>NOT(ISERROR(SEARCH("N/A",H358)))</formula>
    </cfRule>
    <cfRule type="containsText" dxfId="975" priority="3269" operator="containsText" text="done">
      <formula>NOT(ISERROR(SEARCH("done",H358)))</formula>
    </cfRule>
    <cfRule type="containsText" dxfId="974" priority="3270" operator="containsText" text="ready">
      <formula>NOT(ISERROR(SEARCH("ready",H358)))</formula>
    </cfRule>
  </conditionalFormatting>
  <conditionalFormatting sqref="N11 N13:N14 Q14">
    <cfRule type="containsText" dxfId="973" priority="4390" operator="containsText" text="progress">
      <formula>NOT(ISERROR(SEARCH("progress",N11)))</formula>
    </cfRule>
    <cfRule type="containsText" dxfId="972" priority="4391" operator="containsText" text="clarification">
      <formula>NOT(ISERROR(SEARCH("clarification",N11)))</formula>
    </cfRule>
    <cfRule type="containsText" dxfId="971" priority="4392" operator="containsText" text="N/A">
      <formula>NOT(ISERROR(SEARCH("N/A",N11)))</formula>
    </cfRule>
    <cfRule type="containsText" dxfId="970" priority="4393" operator="containsText" text="done">
      <formula>NOT(ISERROR(SEARCH("done",N11)))</formula>
    </cfRule>
    <cfRule type="containsText" dxfId="969" priority="4394" operator="containsText" text="ready">
      <formula>NOT(ISERROR(SEARCH("ready",N11)))</formula>
    </cfRule>
  </conditionalFormatting>
  <conditionalFormatting sqref="N25:N26 Q26">
    <cfRule type="containsText" dxfId="968" priority="4450" operator="containsText" text="progress">
      <formula>NOT(ISERROR(SEARCH("progress",N25)))</formula>
    </cfRule>
    <cfRule type="containsText" dxfId="967" priority="4451" operator="containsText" text="clarification">
      <formula>NOT(ISERROR(SEARCH("clarification",N25)))</formula>
    </cfRule>
    <cfRule type="containsText" dxfId="966" priority="4452" operator="containsText" text="N/A">
      <formula>NOT(ISERROR(SEARCH("N/A",N25)))</formula>
    </cfRule>
    <cfRule type="containsText" dxfId="965" priority="4453" operator="containsText" text="done">
      <formula>NOT(ISERROR(SEARCH("done",N25)))</formula>
    </cfRule>
    <cfRule type="containsText" dxfId="964" priority="4454" operator="containsText" text="ready">
      <formula>NOT(ISERROR(SEARCH("ready",N25)))</formula>
    </cfRule>
  </conditionalFormatting>
  <conditionalFormatting sqref="N69:O74 S24:S68 S70:T152 S8:S17 S18:T24 T25 S27:T27 S38:T38 T39:T43 N42:N44 Q43 Q69:T69 Q72 Q74 T351:T356">
    <cfRule type="containsText" dxfId="963" priority="4617" operator="containsText" text="progress">
      <formula>NOT(ISERROR(SEARCH("progress",N8)))</formula>
    </cfRule>
  </conditionalFormatting>
  <conditionalFormatting sqref="N70:O309">
    <cfRule type="containsText" dxfId="962" priority="2231" operator="containsText" text="progress">
      <formula>NOT(ISERROR(SEARCH("progress",N70)))</formula>
    </cfRule>
    <cfRule type="containsText" dxfId="961" priority="2232" operator="containsText" text="clarification">
      <formula>NOT(ISERROR(SEARCH("clarification",N70)))</formula>
    </cfRule>
    <cfRule type="containsText" dxfId="960" priority="2233" operator="containsText" text="N/A">
      <formula>NOT(ISERROR(SEARCH("N/A",N70)))</formula>
    </cfRule>
    <cfRule type="containsText" dxfId="959" priority="2249" operator="containsText" text="done">
      <formula>NOT(ISERROR(SEARCH("done",N70)))</formula>
    </cfRule>
    <cfRule type="containsText" dxfId="958" priority="2250" operator="containsText" text="ready">
      <formula>NOT(ISERROR(SEARCH("ready",N70)))</formula>
    </cfRule>
  </conditionalFormatting>
  <conditionalFormatting sqref="N35:P38">
    <cfRule type="containsText" dxfId="957" priority="2191" operator="containsText" text="progress">
      <formula>NOT(ISERROR(SEARCH("progress",N35)))</formula>
    </cfRule>
    <cfRule type="containsText" dxfId="956" priority="2192" operator="containsText" text="clarification">
      <formula>NOT(ISERROR(SEARCH("clarification",N35)))</formula>
    </cfRule>
    <cfRule type="containsText" dxfId="955" priority="2193" operator="containsText" text="N/A">
      <formula>NOT(ISERROR(SEARCH("N/A",N35)))</formula>
    </cfRule>
    <cfRule type="containsText" dxfId="954" priority="2194" operator="containsText" text="done">
      <formula>NOT(ISERROR(SEARCH("done",N35)))</formula>
    </cfRule>
    <cfRule type="containsText" dxfId="953" priority="2195" operator="containsText" text="ready">
      <formula>NOT(ISERROR(SEARCH("ready",N35)))</formula>
    </cfRule>
  </conditionalFormatting>
  <conditionalFormatting sqref="N47:P50">
    <cfRule type="containsText" dxfId="952" priority="2186" operator="containsText" text="progress">
      <formula>NOT(ISERROR(SEARCH("progress",N47)))</formula>
    </cfRule>
    <cfRule type="containsText" dxfId="951" priority="2187" operator="containsText" text="clarification">
      <formula>NOT(ISERROR(SEARCH("clarification",N47)))</formula>
    </cfRule>
    <cfRule type="containsText" dxfId="950" priority="2188" operator="containsText" text="N/A">
      <formula>NOT(ISERROR(SEARCH("N/A",N47)))</formula>
    </cfRule>
    <cfRule type="containsText" dxfId="949" priority="2189" operator="containsText" text="done">
      <formula>NOT(ISERROR(SEARCH("done",N47)))</formula>
    </cfRule>
    <cfRule type="containsText" dxfId="948" priority="2190" operator="containsText" text="ready">
      <formula>NOT(ISERROR(SEARCH("ready",N47)))</formula>
    </cfRule>
  </conditionalFormatting>
  <conditionalFormatting sqref="N236:P242">
    <cfRule type="containsText" dxfId="947" priority="1976" operator="containsText" text="progress">
      <formula>NOT(ISERROR(SEARCH("progress",N236)))</formula>
    </cfRule>
    <cfRule type="containsText" dxfId="946" priority="1977" operator="containsText" text="clarification">
      <formula>NOT(ISERROR(SEARCH("clarification",N236)))</formula>
    </cfRule>
    <cfRule type="containsText" dxfId="945" priority="1978" operator="containsText" text="N/A">
      <formula>NOT(ISERROR(SEARCH("N/A",N236)))</formula>
    </cfRule>
    <cfRule type="containsText" dxfId="944" priority="1979" operator="containsText" text="done">
      <formula>NOT(ISERROR(SEARCH("done",N236)))</formula>
    </cfRule>
    <cfRule type="containsText" dxfId="943" priority="1980" operator="containsText" text="ready">
      <formula>NOT(ISERROR(SEARCH("ready",N236)))</formula>
    </cfRule>
  </conditionalFormatting>
  <conditionalFormatting sqref="N7:T7 N15:P15 N27:P27 N30:P30 O41:P44 P69:P74">
    <cfRule type="containsText" dxfId="942" priority="2227" operator="containsText" text="clarification">
      <formula>NOT(ISERROR(SEARCH("clarification",N7)))</formula>
    </cfRule>
    <cfRule type="containsText" dxfId="941" priority="2228" operator="containsText" text="N/A">
      <formula>NOT(ISERROR(SEARCH("N/A",N7)))</formula>
    </cfRule>
    <cfRule type="containsText" dxfId="940" priority="2229" operator="containsText" text="done">
      <formula>NOT(ISERROR(SEARCH("done",N7)))</formula>
    </cfRule>
    <cfRule type="containsText" dxfId="939" priority="2230" operator="containsText" text="ready">
      <formula>NOT(ISERROR(SEARCH("ready",N7)))</formula>
    </cfRule>
  </conditionalFormatting>
  <conditionalFormatting sqref="N310:T329">
    <cfRule type="containsText" dxfId="938" priority="508" operator="containsText" text="progress">
      <formula>NOT(ISERROR(SEARCH("progress",N310)))</formula>
    </cfRule>
    <cfRule type="containsText" dxfId="937" priority="509" operator="containsText" text="clarification">
      <formula>NOT(ISERROR(SEARCH("clarification",N310)))</formula>
    </cfRule>
    <cfRule type="containsText" dxfId="936" priority="510" operator="containsText" text="N/A">
      <formula>NOT(ISERROR(SEARCH("N/A",N310)))</formula>
    </cfRule>
    <cfRule type="containsText" dxfId="935" priority="511" operator="containsText" text="done">
      <formula>NOT(ISERROR(SEARCH("done",N310)))</formula>
    </cfRule>
    <cfRule type="containsText" dxfId="934" priority="512" operator="containsText" text="ready">
      <formula>NOT(ISERROR(SEARCH("ready",N310)))</formula>
    </cfRule>
  </conditionalFormatting>
  <conditionalFormatting sqref="O11:P14">
    <cfRule type="containsText" dxfId="933" priority="2196" operator="containsText" text="progress">
      <formula>NOT(ISERROR(SEARCH("progress",O11)))</formula>
    </cfRule>
    <cfRule type="containsText" dxfId="932" priority="2197" operator="containsText" text="clarification">
      <formula>NOT(ISERROR(SEARCH("clarification",O11)))</formula>
    </cfRule>
    <cfRule type="containsText" dxfId="931" priority="2198" operator="containsText" text="N/A">
      <formula>NOT(ISERROR(SEARCH("N/A",O11)))</formula>
    </cfRule>
    <cfRule type="containsText" dxfId="930" priority="2199" operator="containsText" text="done">
      <formula>NOT(ISERROR(SEARCH("done",O11)))</formula>
    </cfRule>
    <cfRule type="containsText" dxfId="929" priority="2200" operator="containsText" text="ready">
      <formula>NOT(ISERROR(SEARCH("ready",O11)))</formula>
    </cfRule>
  </conditionalFormatting>
  <conditionalFormatting sqref="O24:P26">
    <cfRule type="containsText" dxfId="928" priority="2201" operator="containsText" text="progress">
      <formula>NOT(ISERROR(SEARCH("progress",O24)))</formula>
    </cfRule>
    <cfRule type="containsText" dxfId="927" priority="2202" operator="containsText" text="clarification">
      <formula>NOT(ISERROR(SEARCH("clarification",O24)))</formula>
    </cfRule>
    <cfRule type="containsText" dxfId="926" priority="2203" operator="containsText" text="N/A">
      <formula>NOT(ISERROR(SEARCH("N/A",O24)))</formula>
    </cfRule>
    <cfRule type="containsText" dxfId="925" priority="2204" operator="containsText" text="done">
      <formula>NOT(ISERROR(SEARCH("done",O24)))</formula>
    </cfRule>
    <cfRule type="containsText" dxfId="924" priority="2205" operator="containsText" text="ready">
      <formula>NOT(ISERROR(SEARCH("ready",O24)))</formula>
    </cfRule>
  </conditionalFormatting>
  <conditionalFormatting sqref="P69:P74 N7:T7 N15:P15 N27:P27 N30:P30 O41:P44">
    <cfRule type="containsText" dxfId="923" priority="2226" operator="containsText" text="progress">
      <formula>NOT(ISERROR(SEARCH("progress",N7)))</formula>
    </cfRule>
  </conditionalFormatting>
  <conditionalFormatting sqref="P70:P153">
    <cfRule type="containsText" dxfId="922" priority="2171" operator="containsText" text="progress">
      <formula>NOT(ISERROR(SEARCH("progress",P70)))</formula>
    </cfRule>
    <cfRule type="containsText" dxfId="921" priority="2172" operator="containsText" text="clarification">
      <formula>NOT(ISERROR(SEARCH("clarification",P70)))</formula>
    </cfRule>
    <cfRule type="containsText" dxfId="920" priority="2173" operator="containsText" text="N/A">
      <formula>NOT(ISERROR(SEARCH("N/A",P70)))</formula>
    </cfRule>
    <cfRule type="containsText" dxfId="919" priority="2174" operator="containsText" text="done">
      <formula>NOT(ISERROR(SEARCH("done",P70)))</formula>
    </cfRule>
    <cfRule type="containsText" dxfId="918" priority="2175" operator="containsText" text="ready">
      <formula>NOT(ISERROR(SEARCH("ready",P70)))</formula>
    </cfRule>
  </conditionalFormatting>
  <conditionalFormatting sqref="P163:P309 N330:P356">
    <cfRule type="containsText" dxfId="917" priority="1981" operator="containsText" text="progress">
      <formula>NOT(ISERROR(SEARCH("progress",N163)))</formula>
    </cfRule>
    <cfRule type="containsText" dxfId="916" priority="1982" operator="containsText" text="clarification">
      <formula>NOT(ISERROR(SEARCH("clarification",N163)))</formula>
    </cfRule>
    <cfRule type="containsText" dxfId="915" priority="1983" operator="containsText" text="N/A">
      <formula>NOT(ISERROR(SEARCH("N/A",N163)))</formula>
    </cfRule>
    <cfRule type="containsText" dxfId="914" priority="1984" operator="containsText" text="done">
      <formula>NOT(ISERROR(SEARCH("done",N163)))</formula>
    </cfRule>
    <cfRule type="containsText" dxfId="913" priority="1985" operator="containsText" text="ready">
      <formula>NOT(ISERROR(SEARCH("ready",N163)))</formula>
    </cfRule>
  </conditionalFormatting>
  <conditionalFormatting sqref="P154:R162">
    <cfRule type="containsText" dxfId="912" priority="2206" operator="containsText" text="progress">
      <formula>NOT(ISERROR(SEARCH("progress",P154)))</formula>
    </cfRule>
    <cfRule type="containsText" dxfId="911" priority="2207" operator="containsText" text="clarification">
      <formula>NOT(ISERROR(SEARCH("clarification",P154)))</formula>
    </cfRule>
    <cfRule type="containsText" dxfId="910" priority="2208" operator="containsText" text="N/A">
      <formula>NOT(ISERROR(SEARCH("N/A",P154)))</formula>
    </cfRule>
    <cfRule type="containsText" dxfId="909" priority="2209" operator="containsText" text="done">
      <formula>NOT(ISERROR(SEARCH("done",P154)))</formula>
    </cfRule>
    <cfRule type="containsText" dxfId="908" priority="2210" operator="containsText" text="ready">
      <formula>NOT(ISERROR(SEARCH("ready",P154)))</formula>
    </cfRule>
  </conditionalFormatting>
  <conditionalFormatting sqref="Q37">
    <cfRule type="containsText" dxfId="907" priority="4343" operator="containsText" text="progress">
      <formula>NOT(ISERROR(SEARCH("progress",Q37)))</formula>
    </cfRule>
    <cfRule type="containsText" dxfId="906" priority="4344" operator="containsText" text="clarification">
      <formula>NOT(ISERROR(SEARCH("clarification",Q37)))</formula>
    </cfRule>
    <cfRule type="containsText" dxfId="905" priority="4345" operator="containsText" text="N/A">
      <formula>NOT(ISERROR(SEARCH("N/A",Q37)))</formula>
    </cfRule>
    <cfRule type="containsText" dxfId="904" priority="4346" operator="containsText" text="done">
      <formula>NOT(ISERROR(SEARCH("done",Q37)))</formula>
    </cfRule>
    <cfRule type="containsText" dxfId="903" priority="4347" operator="containsText" text="ready">
      <formula>NOT(ISERROR(SEARCH("ready",Q37)))</formula>
    </cfRule>
  </conditionalFormatting>
  <conditionalFormatting sqref="Q49">
    <cfRule type="containsText" dxfId="902" priority="4303" operator="containsText" text="progress">
      <formula>NOT(ISERROR(SEARCH("progress",Q49)))</formula>
    </cfRule>
    <cfRule type="containsText" dxfId="901" priority="4304" operator="containsText" text="clarification">
      <formula>NOT(ISERROR(SEARCH("clarification",Q49)))</formula>
    </cfRule>
    <cfRule type="containsText" dxfId="900" priority="4305" operator="containsText" text="N/A">
      <formula>NOT(ISERROR(SEARCH("N/A",Q49)))</formula>
    </cfRule>
    <cfRule type="containsText" dxfId="899" priority="4306" operator="containsText" text="done">
      <formula>NOT(ISERROR(SEARCH("done",Q49)))</formula>
    </cfRule>
    <cfRule type="containsText" dxfId="898" priority="4307" operator="containsText" text="ready">
      <formula>NOT(ISERROR(SEARCH("ready",Q49)))</formula>
    </cfRule>
  </conditionalFormatting>
  <conditionalFormatting sqref="Q352:S352">
    <cfRule type="containsText" dxfId="897" priority="3706" operator="containsText" text="progress">
      <formula>NOT(ISERROR(SEARCH("progress",Q352)))</formula>
    </cfRule>
    <cfRule type="containsText" dxfId="896" priority="3707" operator="containsText" text="clarification">
      <formula>NOT(ISERROR(SEARCH("clarification",Q352)))</formula>
    </cfRule>
    <cfRule type="containsText" dxfId="895" priority="3708" operator="containsText" text="N/A">
      <formula>NOT(ISERROR(SEARCH("N/A",Q352)))</formula>
    </cfRule>
    <cfRule type="containsText" dxfId="894" priority="3709" operator="containsText" text="done">
      <formula>NOT(ISERROR(SEARCH("done",Q352)))</formula>
    </cfRule>
    <cfRule type="containsText" dxfId="893" priority="3710" operator="containsText" text="ready">
      <formula>NOT(ISERROR(SEARCH("ready",Q352)))</formula>
    </cfRule>
  </conditionalFormatting>
  <conditionalFormatting sqref="Q354:S354">
    <cfRule type="containsText" dxfId="892" priority="3261" operator="containsText" text="progress">
      <formula>NOT(ISERROR(SEARCH("progress",Q354)))</formula>
    </cfRule>
    <cfRule type="containsText" dxfId="891" priority="3262" operator="containsText" text="clarification">
      <formula>NOT(ISERROR(SEARCH("clarification",Q354)))</formula>
    </cfRule>
    <cfRule type="containsText" dxfId="890" priority="3263" operator="containsText" text="N/A">
      <formula>NOT(ISERROR(SEARCH("N/A",Q354)))</formula>
    </cfRule>
    <cfRule type="containsText" dxfId="889" priority="3264" operator="containsText" text="done">
      <formula>NOT(ISERROR(SEARCH("done",Q354)))</formula>
    </cfRule>
    <cfRule type="containsText" dxfId="888" priority="3265" operator="containsText" text="ready">
      <formula>NOT(ISERROR(SEARCH("ready",Q354)))</formula>
    </cfRule>
  </conditionalFormatting>
  <conditionalFormatting sqref="Q356:S356">
    <cfRule type="containsText" dxfId="887" priority="3226" operator="containsText" text="progress">
      <formula>NOT(ISERROR(SEARCH("progress",Q356)))</formula>
    </cfRule>
    <cfRule type="containsText" dxfId="886" priority="3227" operator="containsText" text="clarification">
      <formula>NOT(ISERROR(SEARCH("clarification",Q356)))</formula>
    </cfRule>
    <cfRule type="containsText" dxfId="885" priority="3228" operator="containsText" text="N/A">
      <formula>NOT(ISERROR(SEARCH("N/A",Q356)))</formula>
    </cfRule>
    <cfRule type="containsText" dxfId="884" priority="3229" operator="containsText" text="done">
      <formula>NOT(ISERROR(SEARCH("done",Q356)))</formula>
    </cfRule>
    <cfRule type="containsText" dxfId="883" priority="3230" operator="containsText" text="ready">
      <formula>NOT(ISERROR(SEARCH("ready",Q356)))</formula>
    </cfRule>
  </conditionalFormatting>
  <conditionalFormatting sqref="R351:S351">
    <cfRule type="containsText" dxfId="882" priority="4003" operator="containsText" text="progress">
      <formula>NOT(ISERROR(SEARCH("progress",R351)))</formula>
    </cfRule>
    <cfRule type="containsText" dxfId="881" priority="4004" operator="containsText" text="clarification">
      <formula>NOT(ISERROR(SEARCH("clarification",R351)))</formula>
    </cfRule>
    <cfRule type="containsText" dxfId="880" priority="4005" operator="containsText" text="N/A">
      <formula>NOT(ISERROR(SEARCH("N/A",R351)))</formula>
    </cfRule>
    <cfRule type="containsText" dxfId="879" priority="4006" operator="containsText" text="done">
      <formula>NOT(ISERROR(SEARCH("done",R351)))</formula>
    </cfRule>
    <cfRule type="containsText" dxfId="878" priority="4007" operator="containsText" text="ready">
      <formula>NOT(ISERROR(SEARCH("ready",R351)))</formula>
    </cfRule>
  </conditionalFormatting>
  <conditionalFormatting sqref="R353:S353">
    <cfRule type="containsText" dxfId="877" priority="3701" operator="containsText" text="progress">
      <formula>NOT(ISERROR(SEARCH("progress",R353)))</formula>
    </cfRule>
    <cfRule type="containsText" dxfId="876" priority="3702" operator="containsText" text="clarification">
      <formula>NOT(ISERROR(SEARCH("clarification",R353)))</formula>
    </cfRule>
    <cfRule type="containsText" dxfId="875" priority="3703" operator="containsText" text="N/A">
      <formula>NOT(ISERROR(SEARCH("N/A",R353)))</formula>
    </cfRule>
    <cfRule type="containsText" dxfId="874" priority="3704" operator="containsText" text="done">
      <formula>NOT(ISERROR(SEARCH("done",R353)))</formula>
    </cfRule>
    <cfRule type="containsText" dxfId="873" priority="3705" operator="containsText" text="ready">
      <formula>NOT(ISERROR(SEARCH("ready",R353)))</formula>
    </cfRule>
  </conditionalFormatting>
  <conditionalFormatting sqref="R355:S355">
    <cfRule type="containsText" dxfId="872" priority="3256" operator="containsText" text="progress">
      <formula>NOT(ISERROR(SEARCH("progress",R355)))</formula>
    </cfRule>
    <cfRule type="containsText" dxfId="871" priority="3257" operator="containsText" text="clarification">
      <formula>NOT(ISERROR(SEARCH("clarification",R355)))</formula>
    </cfRule>
    <cfRule type="containsText" dxfId="870" priority="3258" operator="containsText" text="N/A">
      <formula>NOT(ISERROR(SEARCH("N/A",R355)))</formula>
    </cfRule>
    <cfRule type="containsText" dxfId="869" priority="3259" operator="containsText" text="done">
      <formula>NOT(ISERROR(SEARCH("done",R355)))</formula>
    </cfRule>
    <cfRule type="containsText" dxfId="868" priority="3260" operator="containsText" text="ready">
      <formula>NOT(ISERROR(SEARCH("ready",R355)))</formula>
    </cfRule>
  </conditionalFormatting>
  <conditionalFormatting sqref="S3:S6">
    <cfRule type="containsText" dxfId="867" priority="4098" operator="containsText" text="progress">
      <formula>NOT(ISERROR(SEARCH("progress",S3)))</formula>
    </cfRule>
    <cfRule type="containsText" dxfId="866" priority="4099" operator="containsText" text="clarification">
      <formula>NOT(ISERROR(SEARCH("clarification",S3)))</formula>
    </cfRule>
    <cfRule type="containsText" dxfId="865" priority="4100" operator="containsText" text="N/A">
      <formula>NOT(ISERROR(SEARCH("N/A",S3)))</formula>
    </cfRule>
    <cfRule type="containsText" dxfId="864" priority="4101" operator="containsText" text="done">
      <formula>NOT(ISERROR(SEARCH("done",S3)))</formula>
    </cfRule>
    <cfRule type="containsText" dxfId="863" priority="4102" operator="containsText" text="ready">
      <formula>NOT(ISERROR(SEARCH("ready",S3)))</formula>
    </cfRule>
  </conditionalFormatting>
  <conditionalFormatting sqref="S8:S17 S18:T24 S24:S68 T25 S27:T27 S38:T38 T39:T43 N42:N44 Q43 Q69:T69 N69:O74 S70:T152 Q72 Q74 T351:T356">
    <cfRule type="containsText" dxfId="862" priority="4618" operator="containsText" text="clarification">
      <formula>NOT(ISERROR(SEARCH("clarification",N8)))</formula>
    </cfRule>
    <cfRule type="containsText" dxfId="861" priority="4619" operator="containsText" text="N/A">
      <formula>NOT(ISERROR(SEARCH("N/A",N8)))</formula>
    </cfRule>
    <cfRule type="containsText" dxfId="860" priority="4620" operator="containsText" text="done">
      <formula>NOT(ISERROR(SEARCH("done",N8)))</formula>
    </cfRule>
    <cfRule type="containsText" dxfId="859" priority="4621" operator="containsText" text="ready">
      <formula>NOT(ISERROR(SEARCH("ready",N8)))</formula>
    </cfRule>
  </conditionalFormatting>
  <conditionalFormatting sqref="S70:S153">
    <cfRule type="containsText" dxfId="858" priority="830" operator="containsText" text="progress">
      <formula>NOT(ISERROR(SEARCH("progress",S70)))</formula>
    </cfRule>
    <cfRule type="containsText" dxfId="857" priority="831" operator="containsText" text="clarification">
      <formula>NOT(ISERROR(SEARCH("clarification",S70)))</formula>
    </cfRule>
    <cfRule type="containsText" dxfId="856" priority="832" operator="containsText" text="N/A">
      <formula>NOT(ISERROR(SEARCH("N/A",S70)))</formula>
    </cfRule>
    <cfRule type="containsText" dxfId="855" priority="833" operator="containsText" text="done">
      <formula>NOT(ISERROR(SEARCH("done",S70)))</formula>
    </cfRule>
    <cfRule type="containsText" dxfId="854" priority="834" operator="containsText" text="ready">
      <formula>NOT(ISERROR(SEARCH("ready",S70)))</formula>
    </cfRule>
  </conditionalFormatting>
  <conditionalFormatting sqref="S358:S362">
    <cfRule type="containsText" dxfId="853" priority="3231" operator="containsText" text="progress">
      <formula>NOT(ISERROR(SEARCH("progress",S358)))</formula>
    </cfRule>
    <cfRule type="containsText" dxfId="852" priority="3232" operator="containsText" text="clarification">
      <formula>NOT(ISERROR(SEARCH("clarification",S358)))</formula>
    </cfRule>
    <cfRule type="containsText" dxfId="851" priority="3233" operator="containsText" text="N/A">
      <formula>NOT(ISERROR(SEARCH("N/A",S358)))</formula>
    </cfRule>
    <cfRule type="containsText" dxfId="850" priority="3234" operator="containsText" text="done">
      <formula>NOT(ISERROR(SEARCH("done",S358)))</formula>
    </cfRule>
    <cfRule type="containsText" dxfId="849" priority="3235" operator="containsText" text="ready">
      <formula>NOT(ISERROR(SEARCH("ready",S358)))</formula>
    </cfRule>
  </conditionalFormatting>
  <conditionalFormatting sqref="S44:T68">
    <cfRule type="containsText" dxfId="848" priority="1005" operator="containsText" text="progress">
      <formula>NOT(ISERROR(SEARCH("progress",S44)))</formula>
    </cfRule>
    <cfRule type="containsText" dxfId="847" priority="1006" operator="containsText" text="clarification">
      <formula>NOT(ISERROR(SEARCH("clarification",S44)))</formula>
    </cfRule>
    <cfRule type="containsText" dxfId="846" priority="1007" operator="containsText" text="N/A">
      <formula>NOT(ISERROR(SEARCH("N/A",S44)))</formula>
    </cfRule>
    <cfRule type="containsText" dxfId="845" priority="1008" operator="containsText" text="done">
      <formula>NOT(ISERROR(SEARCH("done",S44)))</formula>
    </cfRule>
    <cfRule type="containsText" dxfId="844" priority="1009" operator="containsText" text="ready">
      <formula>NOT(ISERROR(SEARCH("ready",S44)))</formula>
    </cfRule>
  </conditionalFormatting>
  <conditionalFormatting sqref="S154:T309 S330:T350">
    <cfRule type="containsText" dxfId="843" priority="875" operator="containsText" text="progress">
      <formula>NOT(ISERROR(SEARCH("progress",S154)))</formula>
    </cfRule>
    <cfRule type="containsText" dxfId="842" priority="876" operator="containsText" text="clarification">
      <formula>NOT(ISERROR(SEARCH("clarification",S154)))</formula>
    </cfRule>
    <cfRule type="containsText" dxfId="841" priority="877" operator="containsText" text="N/A">
      <formula>NOT(ISERROR(SEARCH("N/A",S154)))</formula>
    </cfRule>
    <cfRule type="containsText" dxfId="840" priority="878" operator="containsText" text="done">
      <formula>NOT(ISERROR(SEARCH("done",S154)))</formula>
    </cfRule>
    <cfRule type="containsText" dxfId="839" priority="879" operator="containsText" text="ready">
      <formula>NOT(ISERROR(SEARCH("ready",S154)))</formula>
    </cfRule>
  </conditionalFormatting>
  <conditionalFormatting sqref="T8">
    <cfRule type="cellIs" dxfId="838" priority="4622" operator="notBetween">
      <formula>$D8</formula>
      <formula>-$D8</formula>
    </cfRule>
    <cfRule type="cellIs" dxfId="837" priority="4623" operator="between">
      <formula>$D8</formula>
      <formula>-$D8</formula>
    </cfRule>
  </conditionalFormatting>
  <conditionalFormatting sqref="V25:V27">
    <cfRule type="containsText" dxfId="836" priority="3201" operator="containsText" text="progress">
      <formula>NOT(ISERROR(SEARCH("progress",V25)))</formula>
    </cfRule>
    <cfRule type="containsText" dxfId="835" priority="3202" operator="containsText" text="clarification">
      <formula>NOT(ISERROR(SEARCH("clarification",V25)))</formula>
    </cfRule>
    <cfRule type="containsText" dxfId="834" priority="3203" operator="containsText" text="N/A">
      <formula>NOT(ISERROR(SEARCH("N/A",V25)))</formula>
    </cfRule>
    <cfRule type="containsText" dxfId="833" priority="3204" operator="containsText" text="done">
      <formula>NOT(ISERROR(SEARCH("done",V25)))</formula>
    </cfRule>
    <cfRule type="containsText" dxfId="832" priority="3205" operator="containsText" text="ready">
      <formula>NOT(ISERROR(SEARCH("ready",V25)))</formula>
    </cfRule>
  </conditionalFormatting>
  <conditionalFormatting sqref="V36:V38">
    <cfRule type="containsText" dxfId="831" priority="3191" operator="containsText" text="progress">
      <formula>NOT(ISERROR(SEARCH("progress",V36)))</formula>
    </cfRule>
    <cfRule type="containsText" dxfId="830" priority="3192" operator="containsText" text="clarification">
      <formula>NOT(ISERROR(SEARCH("clarification",V36)))</formula>
    </cfRule>
    <cfRule type="containsText" dxfId="829" priority="3193" operator="containsText" text="N/A">
      <formula>NOT(ISERROR(SEARCH("N/A",V36)))</formula>
    </cfRule>
    <cfRule type="containsText" dxfId="828" priority="3194" operator="containsText" text="done">
      <formula>NOT(ISERROR(SEARCH("done",V36)))</formula>
    </cfRule>
    <cfRule type="containsText" dxfId="827" priority="3195" operator="containsText" text="ready">
      <formula>NOT(ISERROR(SEARCH("ready",V36)))</formula>
    </cfRule>
  </conditionalFormatting>
  <conditionalFormatting sqref="V42:V44">
    <cfRule type="containsText" dxfId="826" priority="3186" operator="containsText" text="progress">
      <formula>NOT(ISERROR(SEARCH("progress",V42)))</formula>
    </cfRule>
    <cfRule type="containsText" dxfId="825" priority="3187" operator="containsText" text="clarification">
      <formula>NOT(ISERROR(SEARCH("clarification",V42)))</formula>
    </cfRule>
    <cfRule type="containsText" dxfId="824" priority="3188" operator="containsText" text="N/A">
      <formula>NOT(ISERROR(SEARCH("N/A",V42)))</formula>
    </cfRule>
    <cfRule type="containsText" dxfId="823" priority="3189" operator="containsText" text="done">
      <formula>NOT(ISERROR(SEARCH("done",V42)))</formula>
    </cfRule>
    <cfRule type="containsText" dxfId="822" priority="3190" operator="containsText" text="ready">
      <formula>NOT(ISERROR(SEARCH("ready",V42)))</formula>
    </cfRule>
  </conditionalFormatting>
  <conditionalFormatting sqref="V70:V74">
    <cfRule type="containsText" dxfId="821" priority="3691" operator="containsText" text="progress">
      <formula>NOT(ISERROR(SEARCH("progress",V70)))</formula>
    </cfRule>
    <cfRule type="containsText" dxfId="820" priority="3692" operator="containsText" text="clarification">
      <formula>NOT(ISERROR(SEARCH("clarification",V70)))</formula>
    </cfRule>
    <cfRule type="containsText" dxfId="819" priority="3693" operator="containsText" text="N/A">
      <formula>NOT(ISERROR(SEARCH("N/A",V70)))</formula>
    </cfRule>
    <cfRule type="containsText" dxfId="818" priority="3694" operator="containsText" text="done">
      <formula>NOT(ISERROR(SEARCH("done",V70)))</formula>
    </cfRule>
    <cfRule type="containsText" dxfId="817" priority="3695" operator="containsText" text="ready">
      <formula>NOT(ISERROR(SEARCH("ready",V70)))</formula>
    </cfRule>
  </conditionalFormatting>
  <conditionalFormatting sqref="V74:V88">
    <cfRule type="containsText" dxfId="816" priority="3686" operator="containsText" text="progress">
      <formula>NOT(ISERROR(SEARCH("progress",V74)))</formula>
    </cfRule>
    <cfRule type="containsText" dxfId="815" priority="3687" operator="containsText" text="clarification">
      <formula>NOT(ISERROR(SEARCH("clarification",V74)))</formula>
    </cfRule>
    <cfRule type="containsText" dxfId="814" priority="3688" operator="containsText" text="N/A">
      <formula>NOT(ISERROR(SEARCH("N/A",V74)))</formula>
    </cfRule>
    <cfRule type="containsText" dxfId="813" priority="3689" operator="containsText" text="done">
      <formula>NOT(ISERROR(SEARCH("done",V74)))</formula>
    </cfRule>
    <cfRule type="containsText" dxfId="812" priority="3690" operator="containsText" text="ready">
      <formula>NOT(ISERROR(SEARCH("ready",V74)))</formula>
    </cfRule>
  </conditionalFormatting>
  <conditionalFormatting sqref="V11:W11 Y14">
    <cfRule type="containsText" dxfId="811" priority="3946" operator="containsText" text="progress">
      <formula>NOT(ISERROR(SEARCH("progress",V11)))</formula>
    </cfRule>
    <cfRule type="containsText" dxfId="810" priority="3947" operator="containsText" text="clarification">
      <formula>NOT(ISERROR(SEARCH("clarification",V11)))</formula>
    </cfRule>
    <cfRule type="containsText" dxfId="809" priority="3948" operator="containsText" text="N/A">
      <formula>NOT(ISERROR(SEARCH("N/A",V11)))</formula>
    </cfRule>
    <cfRule type="containsText" dxfId="808" priority="3949" operator="containsText" text="done">
      <formula>NOT(ISERROR(SEARCH("done",V11)))</formula>
    </cfRule>
    <cfRule type="containsText" dxfId="807" priority="3950" operator="containsText" text="ready">
      <formula>NOT(ISERROR(SEARCH("ready",V11)))</formula>
    </cfRule>
  </conditionalFormatting>
  <conditionalFormatting sqref="V13:W15">
    <cfRule type="containsText" dxfId="806" priority="3211" operator="containsText" text="progress">
      <formula>NOT(ISERROR(SEARCH("progress",V13)))</formula>
    </cfRule>
    <cfRule type="containsText" dxfId="805" priority="3212" operator="containsText" text="clarification">
      <formula>NOT(ISERROR(SEARCH("clarification",V13)))</formula>
    </cfRule>
    <cfRule type="containsText" dxfId="804" priority="3213" operator="containsText" text="N/A">
      <formula>NOT(ISERROR(SEARCH("N/A",V13)))</formula>
    </cfRule>
    <cfRule type="containsText" dxfId="803" priority="3214" operator="containsText" text="done">
      <formula>NOT(ISERROR(SEARCH("done",V13)))</formula>
    </cfRule>
    <cfRule type="containsText" dxfId="802" priority="3215" operator="containsText" text="ready">
      <formula>NOT(ISERROR(SEARCH("ready",V13)))</formula>
    </cfRule>
  </conditionalFormatting>
  <conditionalFormatting sqref="V89:W242">
    <cfRule type="containsText" dxfId="801" priority="538" operator="containsText" text="progress">
      <formula>NOT(ISERROR(SEARCH("progress",V89)))</formula>
    </cfRule>
    <cfRule type="containsText" dxfId="800" priority="539" operator="containsText" text="clarification">
      <formula>NOT(ISERROR(SEARCH("clarification",V89)))</formula>
    </cfRule>
    <cfRule type="containsText" dxfId="799" priority="540" operator="containsText" text="N/A">
      <formula>NOT(ISERROR(SEARCH("N/A",V89)))</formula>
    </cfRule>
    <cfRule type="containsText" dxfId="798" priority="541" operator="containsText" text="done">
      <formula>NOT(ISERROR(SEARCH("done",V89)))</formula>
    </cfRule>
    <cfRule type="containsText" dxfId="797" priority="542" operator="containsText" text="ready">
      <formula>NOT(ISERROR(SEARCH("ready",V89)))</formula>
    </cfRule>
  </conditionalFormatting>
  <conditionalFormatting sqref="V236:W356 H3:H6 T153 Q307:R309 Q330:R349 AA350:AB350">
    <cfRule type="containsText" dxfId="796" priority="4113" operator="containsText" text="progress">
      <formula>NOT(ISERROR(SEARCH("progress",H3)))</formula>
    </cfRule>
  </conditionalFormatting>
  <conditionalFormatting sqref="V47:X50">
    <cfRule type="containsText" dxfId="795" priority="1426" operator="containsText" text="progress">
      <formula>NOT(ISERROR(SEARCH("progress",V47)))</formula>
    </cfRule>
    <cfRule type="containsText" dxfId="794" priority="1427" operator="containsText" text="clarification">
      <formula>NOT(ISERROR(SEARCH("clarification",V47)))</formula>
    </cfRule>
    <cfRule type="containsText" dxfId="793" priority="1428" operator="containsText" text="N/A">
      <formula>NOT(ISERROR(SEARCH("N/A",V47)))</formula>
    </cfRule>
    <cfRule type="containsText" dxfId="792" priority="1429" operator="containsText" text="done">
      <formula>NOT(ISERROR(SEARCH("done",V47)))</formula>
    </cfRule>
    <cfRule type="containsText" dxfId="791" priority="1430" operator="containsText" text="ready">
      <formula>NOT(ISERROR(SEARCH("ready",V47)))</formula>
    </cfRule>
  </conditionalFormatting>
  <conditionalFormatting sqref="V7:AB7 V30:X30 W69:X74">
    <cfRule type="containsText" dxfId="790" priority="1462" operator="containsText" text="clarification">
      <formula>NOT(ISERROR(SEARCH("clarification",V7)))</formula>
    </cfRule>
    <cfRule type="containsText" dxfId="789" priority="1463" operator="containsText" text="N/A">
      <formula>NOT(ISERROR(SEARCH("N/A",V7)))</formula>
    </cfRule>
    <cfRule type="containsText" dxfId="788" priority="1464" operator="containsText" text="done">
      <formula>NOT(ISERROR(SEARCH("done",V7)))</formula>
    </cfRule>
    <cfRule type="containsText" dxfId="787" priority="1465" operator="containsText" text="ready">
      <formula>NOT(ISERROR(SEARCH("ready",V7)))</formula>
    </cfRule>
  </conditionalFormatting>
  <conditionalFormatting sqref="W12">
    <cfRule type="containsText" dxfId="786" priority="1031" operator="containsText" text="progress">
      <formula>NOT(ISERROR(SEARCH("progress",W12)))</formula>
    </cfRule>
    <cfRule type="containsText" dxfId="785" priority="1032" operator="containsText" text="clarification">
      <formula>NOT(ISERROR(SEARCH("clarification",W12)))</formula>
    </cfRule>
    <cfRule type="containsText" dxfId="784" priority="1033" operator="containsText" text="N/A">
      <formula>NOT(ISERROR(SEARCH("N/A",W12)))</formula>
    </cfRule>
    <cfRule type="containsText" dxfId="783" priority="1034" operator="containsText" text="done">
      <formula>NOT(ISERROR(SEARCH("done",W12)))</formula>
    </cfRule>
    <cfRule type="containsText" dxfId="782" priority="1035" operator="containsText" text="ready">
      <formula>NOT(ISERROR(SEARCH("ready",W12)))</formula>
    </cfRule>
  </conditionalFormatting>
  <conditionalFormatting sqref="W75">
    <cfRule type="containsText" dxfId="781" priority="548" operator="containsText" text="progress">
      <formula>NOT(ISERROR(SEARCH("progress",W75)))</formula>
    </cfRule>
    <cfRule type="containsText" dxfId="780" priority="549" operator="containsText" text="clarification">
      <formula>NOT(ISERROR(SEARCH("clarification",W75)))</formula>
    </cfRule>
    <cfRule type="containsText" dxfId="779" priority="550" operator="containsText" text="N/A">
      <formula>NOT(ISERROR(SEARCH("N/A",W75)))</formula>
    </cfRule>
    <cfRule type="containsText" dxfId="778" priority="551" operator="containsText" text="done">
      <formula>NOT(ISERROR(SEARCH("done",W75)))</formula>
    </cfRule>
    <cfRule type="containsText" dxfId="777" priority="552" operator="containsText" text="ready">
      <formula>NOT(ISERROR(SEARCH("ready",W75)))</formula>
    </cfRule>
  </conditionalFormatting>
  <conditionalFormatting sqref="W286">
    <cfRule type="containsText" dxfId="776" priority="2716" operator="containsText" text="progress">
      <formula>NOT(ISERROR(SEARCH("progress",W286)))</formula>
    </cfRule>
    <cfRule type="containsText" dxfId="775" priority="2717" operator="containsText" text="clarification">
      <formula>NOT(ISERROR(SEARCH("clarification",W286)))</formula>
    </cfRule>
    <cfRule type="containsText" dxfId="774" priority="2718" operator="containsText" text="N/A">
      <formula>NOT(ISERROR(SEARCH("N/A",W286)))</formula>
    </cfRule>
    <cfRule type="containsText" dxfId="773" priority="2719" operator="containsText" text="done">
      <formula>NOT(ISERROR(SEARCH("done",W286)))</formula>
    </cfRule>
    <cfRule type="containsText" dxfId="772" priority="2720" operator="containsText" text="ready">
      <formula>NOT(ISERROR(SEARCH("ready",W286)))</formula>
    </cfRule>
  </conditionalFormatting>
  <conditionalFormatting sqref="W24:X27">
    <cfRule type="containsText" dxfId="771" priority="1241" operator="containsText" text="progress">
      <formula>NOT(ISERROR(SEARCH("progress",W24)))</formula>
    </cfRule>
    <cfRule type="containsText" dxfId="770" priority="1242" operator="containsText" text="clarification">
      <formula>NOT(ISERROR(SEARCH("clarification",W24)))</formula>
    </cfRule>
    <cfRule type="containsText" dxfId="769" priority="1243" operator="containsText" text="N/A">
      <formula>NOT(ISERROR(SEARCH("N/A",W24)))</formula>
    </cfRule>
    <cfRule type="containsText" dxfId="768" priority="1244" operator="containsText" text="done">
      <formula>NOT(ISERROR(SEARCH("done",W24)))</formula>
    </cfRule>
    <cfRule type="containsText" dxfId="767" priority="1245" operator="containsText" text="ready">
      <formula>NOT(ISERROR(SEARCH("ready",W24)))</formula>
    </cfRule>
  </conditionalFormatting>
  <conditionalFormatting sqref="W35:X38">
    <cfRule type="containsText" dxfId="766" priority="1236" operator="containsText" text="progress">
      <formula>NOT(ISERROR(SEARCH("progress",W35)))</formula>
    </cfRule>
    <cfRule type="containsText" dxfId="765" priority="1237" operator="containsText" text="clarification">
      <formula>NOT(ISERROR(SEARCH("clarification",W35)))</formula>
    </cfRule>
    <cfRule type="containsText" dxfId="764" priority="1238" operator="containsText" text="N/A">
      <formula>NOT(ISERROR(SEARCH("N/A",W35)))</formula>
    </cfRule>
    <cfRule type="containsText" dxfId="763" priority="1239" operator="containsText" text="done">
      <formula>NOT(ISERROR(SEARCH("done",W35)))</formula>
    </cfRule>
    <cfRule type="containsText" dxfId="762" priority="1240" operator="containsText" text="ready">
      <formula>NOT(ISERROR(SEARCH("ready",W35)))</formula>
    </cfRule>
  </conditionalFormatting>
  <conditionalFormatting sqref="W41:X44">
    <cfRule type="containsText" dxfId="761" priority="1231" operator="containsText" text="progress">
      <formula>NOT(ISERROR(SEARCH("progress",W41)))</formula>
    </cfRule>
    <cfRule type="containsText" dxfId="760" priority="1232" operator="containsText" text="clarification">
      <formula>NOT(ISERROR(SEARCH("clarification",W41)))</formula>
    </cfRule>
    <cfRule type="containsText" dxfId="759" priority="1233" operator="containsText" text="N/A">
      <formula>NOT(ISERROR(SEARCH("N/A",W41)))</formula>
    </cfRule>
    <cfRule type="containsText" dxfId="758" priority="1234" operator="containsText" text="done">
      <formula>NOT(ISERROR(SEARCH("done",W41)))</formula>
    </cfRule>
    <cfRule type="containsText" dxfId="757" priority="1235" operator="containsText" text="ready">
      <formula>NOT(ISERROR(SEARCH("ready",W41)))</formula>
    </cfRule>
  </conditionalFormatting>
  <conditionalFormatting sqref="W69:X74 V7:AB7 V30:X30">
    <cfRule type="containsText" dxfId="756" priority="1461" operator="containsText" text="progress">
      <formula>NOT(ISERROR(SEARCH("progress",V7)))</formula>
    </cfRule>
  </conditionalFormatting>
  <conditionalFormatting sqref="W70:X88">
    <cfRule type="containsText" dxfId="755" priority="1456" operator="containsText" text="progress">
      <formula>NOT(ISERROR(SEARCH("progress",W70)))</formula>
    </cfRule>
    <cfRule type="containsText" dxfId="754" priority="1457" operator="containsText" text="clarification">
      <formula>NOT(ISERROR(SEARCH("clarification",W70)))</formula>
    </cfRule>
    <cfRule type="containsText" dxfId="753" priority="1458" operator="containsText" text="N/A">
      <formula>NOT(ISERROR(SEARCH("N/A",W70)))</formula>
    </cfRule>
    <cfRule type="containsText" dxfId="752" priority="1459" operator="containsText" text="done">
      <formula>NOT(ISERROR(SEARCH("done",W70)))</formula>
    </cfRule>
    <cfRule type="containsText" dxfId="751" priority="1460" operator="containsText" text="ready">
      <formula>NOT(ISERROR(SEARCH("ready",W70)))</formula>
    </cfRule>
  </conditionalFormatting>
  <conditionalFormatting sqref="W76:X77">
    <cfRule type="containsText" dxfId="750" priority="1401" operator="containsText" text="progress">
      <formula>NOT(ISERROR(SEARCH("progress",W76)))</formula>
    </cfRule>
    <cfRule type="containsText" dxfId="749" priority="1402" operator="containsText" text="clarification">
      <formula>NOT(ISERROR(SEARCH("clarification",W76)))</formula>
    </cfRule>
    <cfRule type="containsText" dxfId="748" priority="1403" operator="containsText" text="N/A">
      <formula>NOT(ISERROR(SEARCH("N/A",W76)))</formula>
    </cfRule>
    <cfRule type="containsText" dxfId="747" priority="1404" operator="containsText" text="done">
      <formula>NOT(ISERROR(SEARCH("done",W76)))</formula>
    </cfRule>
    <cfRule type="containsText" dxfId="746" priority="1405" operator="containsText" text="ready">
      <formula>NOT(ISERROR(SEARCH("ready",W76)))</formula>
    </cfRule>
  </conditionalFormatting>
  <conditionalFormatting sqref="X11:X15">
    <cfRule type="containsText" dxfId="745" priority="1436" operator="containsText" text="progress">
      <formula>NOT(ISERROR(SEARCH("progress",X11)))</formula>
    </cfRule>
    <cfRule type="containsText" dxfId="744" priority="1437" operator="containsText" text="clarification">
      <formula>NOT(ISERROR(SEARCH("clarification",X11)))</formula>
    </cfRule>
    <cfRule type="containsText" dxfId="743" priority="1438" operator="containsText" text="N/A">
      <formula>NOT(ISERROR(SEARCH("N/A",X11)))</formula>
    </cfRule>
    <cfRule type="containsText" dxfId="742" priority="1439" operator="containsText" text="done">
      <formula>NOT(ISERROR(SEARCH("done",X11)))</formula>
    </cfRule>
    <cfRule type="containsText" dxfId="741" priority="1440" operator="containsText" text="ready">
      <formula>NOT(ISERROR(SEARCH("ready",X11)))</formula>
    </cfRule>
  </conditionalFormatting>
  <conditionalFormatting sqref="X89:X153">
    <cfRule type="containsText" dxfId="740" priority="1246" operator="containsText" text="progress">
      <formula>NOT(ISERROR(SEARCH("progress",X89)))</formula>
    </cfRule>
    <cfRule type="containsText" dxfId="739" priority="1247" operator="containsText" text="clarification">
      <formula>NOT(ISERROR(SEARCH("clarification",X89)))</formula>
    </cfRule>
    <cfRule type="containsText" dxfId="738" priority="1248" operator="containsText" text="N/A">
      <formula>NOT(ISERROR(SEARCH("N/A",X89)))</formula>
    </cfRule>
    <cfRule type="containsText" dxfId="737" priority="1249" operator="containsText" text="done">
      <formula>NOT(ISERROR(SEARCH("done",X89)))</formula>
    </cfRule>
    <cfRule type="containsText" dxfId="736" priority="1250" operator="containsText" text="ready">
      <formula>NOT(ISERROR(SEARCH("ready",X89)))</formula>
    </cfRule>
  </conditionalFormatting>
  <conditionalFormatting sqref="X163:X227">
    <cfRule type="containsText" dxfId="735" priority="1056" operator="containsText" text="progress">
      <formula>NOT(ISERROR(SEARCH("progress",X163)))</formula>
    </cfRule>
    <cfRule type="containsText" dxfId="734" priority="1057" operator="containsText" text="clarification">
      <formula>NOT(ISERROR(SEARCH("clarification",X163)))</formula>
    </cfRule>
    <cfRule type="containsText" dxfId="733" priority="1058" operator="containsText" text="N/A">
      <formula>NOT(ISERROR(SEARCH("N/A",X163)))</formula>
    </cfRule>
    <cfRule type="containsText" dxfId="732" priority="1059" operator="containsText" text="done">
      <formula>NOT(ISERROR(SEARCH("done",X163)))</formula>
    </cfRule>
    <cfRule type="containsText" dxfId="731" priority="1060" operator="containsText" text="ready">
      <formula>NOT(ISERROR(SEARCH("ready",X163)))</formula>
    </cfRule>
  </conditionalFormatting>
  <conditionalFormatting sqref="X228:X356">
    <cfRule type="containsText" dxfId="730" priority="1136" operator="containsText" text="progress">
      <formula>NOT(ISERROR(SEARCH("progress",X228)))</formula>
    </cfRule>
    <cfRule type="containsText" dxfId="729" priority="1137" operator="containsText" text="clarification">
      <formula>NOT(ISERROR(SEARCH("clarification",X228)))</formula>
    </cfRule>
    <cfRule type="containsText" dxfId="728" priority="1138" operator="containsText" text="N/A">
      <formula>NOT(ISERROR(SEARCH("N/A",X228)))</formula>
    </cfRule>
    <cfRule type="containsText" dxfId="727" priority="1139" operator="containsText" text="done">
      <formula>NOT(ISERROR(SEARCH("done",X228)))</formula>
    </cfRule>
    <cfRule type="containsText" dxfId="726" priority="1140" operator="containsText" text="ready">
      <formula>NOT(ISERROR(SEARCH("ready",X228)))</formula>
    </cfRule>
  </conditionalFormatting>
  <conditionalFormatting sqref="X236:X242">
    <cfRule type="containsText" dxfId="725" priority="1131" operator="containsText" text="progress">
      <formula>NOT(ISERROR(SEARCH("progress",X236)))</formula>
    </cfRule>
    <cfRule type="containsText" dxfId="724" priority="1132" operator="containsText" text="clarification">
      <formula>NOT(ISERROR(SEARCH("clarification",X236)))</formula>
    </cfRule>
    <cfRule type="containsText" dxfId="723" priority="1133" operator="containsText" text="N/A">
      <formula>NOT(ISERROR(SEARCH("N/A",X236)))</formula>
    </cfRule>
    <cfRule type="containsText" dxfId="722" priority="1134" operator="containsText" text="done">
      <formula>NOT(ISERROR(SEARCH("done",X236)))</formula>
    </cfRule>
    <cfRule type="containsText" dxfId="721" priority="1135" operator="containsText" text="ready">
      <formula>NOT(ISERROR(SEARCH("ready",X236)))</formula>
    </cfRule>
  </conditionalFormatting>
  <conditionalFormatting sqref="X154:AB162">
    <cfRule type="containsText" dxfId="720" priority="1466" operator="containsText" text="progress">
      <formula>NOT(ISERROR(SEARCH("progress",X154)))</formula>
    </cfRule>
    <cfRule type="containsText" dxfId="719" priority="1467" operator="containsText" text="clarification">
      <formula>NOT(ISERROR(SEARCH("clarification",X154)))</formula>
    </cfRule>
    <cfRule type="containsText" dxfId="718" priority="1468" operator="containsText" text="N/A">
      <formula>NOT(ISERROR(SEARCH("N/A",X154)))</formula>
    </cfRule>
    <cfRule type="containsText" dxfId="717" priority="1469" operator="containsText" text="done">
      <formula>NOT(ISERROR(SEARCH("done",X154)))</formula>
    </cfRule>
    <cfRule type="containsText" dxfId="716" priority="1470" operator="containsText" text="ready">
      <formula>NOT(ISERROR(SEARCH("ready",X154)))</formula>
    </cfRule>
  </conditionalFormatting>
  <conditionalFormatting sqref="Y26">
    <cfRule type="containsText" dxfId="715" priority="3951" operator="containsText" text="progress">
      <formula>NOT(ISERROR(SEARCH("progress",Y26)))</formula>
    </cfRule>
    <cfRule type="containsText" dxfId="714" priority="3952" operator="containsText" text="clarification">
      <formula>NOT(ISERROR(SEARCH("clarification",Y26)))</formula>
    </cfRule>
    <cfRule type="containsText" dxfId="713" priority="3953" operator="containsText" text="N/A">
      <formula>NOT(ISERROR(SEARCH("N/A",Y26)))</formula>
    </cfRule>
    <cfRule type="containsText" dxfId="712" priority="3954" operator="containsText" text="done">
      <formula>NOT(ISERROR(SEARCH("done",Y26)))</formula>
    </cfRule>
    <cfRule type="containsText" dxfId="711" priority="3955" operator="containsText" text="ready">
      <formula>NOT(ISERROR(SEARCH("ready",Y26)))</formula>
    </cfRule>
  </conditionalFormatting>
  <conditionalFormatting sqref="Y37">
    <cfRule type="containsText" dxfId="710" priority="3941" operator="containsText" text="progress">
      <formula>NOT(ISERROR(SEARCH("progress",Y37)))</formula>
    </cfRule>
    <cfRule type="containsText" dxfId="709" priority="3942" operator="containsText" text="clarification">
      <formula>NOT(ISERROR(SEARCH("clarification",Y37)))</formula>
    </cfRule>
    <cfRule type="containsText" dxfId="708" priority="3943" operator="containsText" text="N/A">
      <formula>NOT(ISERROR(SEARCH("N/A",Y37)))</formula>
    </cfRule>
    <cfRule type="containsText" dxfId="707" priority="3944" operator="containsText" text="done">
      <formula>NOT(ISERROR(SEARCH("done",Y37)))</formula>
    </cfRule>
    <cfRule type="containsText" dxfId="706" priority="3945" operator="containsText" text="ready">
      <formula>NOT(ISERROR(SEARCH("ready",Y37)))</formula>
    </cfRule>
  </conditionalFormatting>
  <conditionalFormatting sqref="Y49">
    <cfRule type="containsText" dxfId="705" priority="3936" operator="containsText" text="progress">
      <formula>NOT(ISERROR(SEARCH("progress",Y49)))</formula>
    </cfRule>
    <cfRule type="containsText" dxfId="704" priority="3937" operator="containsText" text="clarification">
      <formula>NOT(ISERROR(SEARCH("clarification",Y49)))</formula>
    </cfRule>
    <cfRule type="containsText" dxfId="703" priority="3938" operator="containsText" text="N/A">
      <formula>NOT(ISERROR(SEARCH("N/A",Y49)))</formula>
    </cfRule>
    <cfRule type="containsText" dxfId="702" priority="3939" operator="containsText" text="done">
      <formula>NOT(ISERROR(SEARCH("done",Y49)))</formula>
    </cfRule>
    <cfRule type="containsText" dxfId="701" priority="3940" operator="containsText" text="ready">
      <formula>NOT(ISERROR(SEARCH("ready",Y49)))</formula>
    </cfRule>
  </conditionalFormatting>
  <conditionalFormatting sqref="Y352:AA352">
    <cfRule type="containsText" dxfId="700" priority="3471" operator="containsText" text="progress">
      <formula>NOT(ISERROR(SEARCH("progress",Y352)))</formula>
    </cfRule>
    <cfRule type="containsText" dxfId="699" priority="3472" operator="containsText" text="clarification">
      <formula>NOT(ISERROR(SEARCH("clarification",Y352)))</formula>
    </cfRule>
    <cfRule type="containsText" dxfId="698" priority="3473" operator="containsText" text="N/A">
      <formula>NOT(ISERROR(SEARCH("N/A",Y352)))</formula>
    </cfRule>
    <cfRule type="containsText" dxfId="697" priority="3474" operator="containsText" text="done">
      <formula>NOT(ISERROR(SEARCH("done",Y352)))</formula>
    </cfRule>
    <cfRule type="containsText" dxfId="696" priority="3475" operator="containsText" text="ready">
      <formula>NOT(ISERROR(SEARCH("ready",Y352)))</formula>
    </cfRule>
  </conditionalFormatting>
  <conditionalFormatting sqref="Y354:AA354">
    <cfRule type="containsText" dxfId="695" priority="3216" operator="containsText" text="progress">
      <formula>NOT(ISERROR(SEARCH("progress",Y354)))</formula>
    </cfRule>
    <cfRule type="containsText" dxfId="694" priority="3217" operator="containsText" text="clarification">
      <formula>NOT(ISERROR(SEARCH("clarification",Y354)))</formula>
    </cfRule>
    <cfRule type="containsText" dxfId="693" priority="3218" operator="containsText" text="N/A">
      <formula>NOT(ISERROR(SEARCH("N/A",Y354)))</formula>
    </cfRule>
    <cfRule type="containsText" dxfId="692" priority="3219" operator="containsText" text="done">
      <formula>NOT(ISERROR(SEARCH("done",Y354)))</formula>
    </cfRule>
    <cfRule type="containsText" dxfId="691" priority="3220" operator="containsText" text="ready">
      <formula>NOT(ISERROR(SEARCH("ready",Y354)))</formula>
    </cfRule>
  </conditionalFormatting>
  <conditionalFormatting sqref="Y356:AA356">
    <cfRule type="containsText" dxfId="690" priority="3476" operator="containsText" text="progress">
      <formula>NOT(ISERROR(SEARCH("progress",Y356)))</formula>
    </cfRule>
    <cfRule type="containsText" dxfId="689" priority="3477" operator="containsText" text="clarification">
      <formula>NOT(ISERROR(SEARCH("clarification",Y356)))</formula>
    </cfRule>
    <cfRule type="containsText" dxfId="688" priority="3478" operator="containsText" text="N/A">
      <formula>NOT(ISERROR(SEARCH("N/A",Y356)))</formula>
    </cfRule>
    <cfRule type="containsText" dxfId="687" priority="3479" operator="containsText" text="done">
      <formula>NOT(ISERROR(SEARCH("done",Y356)))</formula>
    </cfRule>
    <cfRule type="containsText" dxfId="686" priority="3480" operator="containsText" text="ready">
      <formula>NOT(ISERROR(SEARCH("ready",Y356)))</formula>
    </cfRule>
  </conditionalFormatting>
  <conditionalFormatting sqref="Y307:AB339 Y341:AB349 AA340:AB340">
    <cfRule type="containsText" dxfId="685" priority="870" operator="containsText" text="progress">
      <formula>NOT(ISERROR(SEARCH("progress",Y307)))</formula>
    </cfRule>
    <cfRule type="containsText" dxfId="684" priority="871" operator="containsText" text="clarification">
      <formula>NOT(ISERROR(SEARCH("clarification",Y307)))</formula>
    </cfRule>
    <cfRule type="containsText" dxfId="683" priority="872" operator="containsText" text="N/A">
      <formula>NOT(ISERROR(SEARCH("N/A",Y307)))</formula>
    </cfRule>
    <cfRule type="containsText" dxfId="682" priority="873" operator="containsText" text="done">
      <formula>NOT(ISERROR(SEARCH("done",Y307)))</formula>
    </cfRule>
    <cfRule type="containsText" dxfId="681" priority="874" operator="containsText" text="ready">
      <formula>NOT(ISERROR(SEARCH("ready",Y307)))</formula>
    </cfRule>
  </conditionalFormatting>
  <conditionalFormatting sqref="Z351:AA351">
    <cfRule type="containsText" dxfId="680" priority="3466" operator="containsText" text="progress">
      <formula>NOT(ISERROR(SEARCH("progress",Z351)))</formula>
    </cfRule>
    <cfRule type="containsText" dxfId="679" priority="3467" operator="containsText" text="clarification">
      <formula>NOT(ISERROR(SEARCH("clarification",Z351)))</formula>
    </cfRule>
    <cfRule type="containsText" dxfId="678" priority="3468" operator="containsText" text="N/A">
      <formula>NOT(ISERROR(SEARCH("N/A",Z351)))</formula>
    </cfRule>
    <cfRule type="containsText" dxfId="677" priority="3469" operator="containsText" text="done">
      <formula>NOT(ISERROR(SEARCH("done",Z351)))</formula>
    </cfRule>
    <cfRule type="containsText" dxfId="676" priority="3470" operator="containsText" text="ready">
      <formula>NOT(ISERROR(SEARCH("ready",Z351)))</formula>
    </cfRule>
  </conditionalFormatting>
  <conditionalFormatting sqref="Z353:AA353">
    <cfRule type="containsText" dxfId="675" priority="865" operator="containsText" text="progress">
      <formula>NOT(ISERROR(SEARCH("progress",Z353)))</formula>
    </cfRule>
    <cfRule type="containsText" dxfId="674" priority="866" operator="containsText" text="clarification">
      <formula>NOT(ISERROR(SEARCH("clarification",Z353)))</formula>
    </cfRule>
    <cfRule type="containsText" dxfId="673" priority="867" operator="containsText" text="N/A">
      <formula>NOT(ISERROR(SEARCH("N/A",Z353)))</formula>
    </cfRule>
    <cfRule type="containsText" dxfId="672" priority="868" operator="containsText" text="done">
      <formula>NOT(ISERROR(SEARCH("done",Z353)))</formula>
    </cfRule>
    <cfRule type="containsText" dxfId="671" priority="869" operator="containsText" text="ready">
      <formula>NOT(ISERROR(SEARCH("ready",Z353)))</formula>
    </cfRule>
  </conditionalFormatting>
  <conditionalFormatting sqref="Z355:AA355">
    <cfRule type="containsText" dxfId="670" priority="3221" operator="containsText" text="progress">
      <formula>NOT(ISERROR(SEARCH("progress",Z355)))</formula>
    </cfRule>
    <cfRule type="containsText" dxfId="669" priority="3222" operator="containsText" text="clarification">
      <formula>NOT(ISERROR(SEARCH("clarification",Z355)))</formula>
    </cfRule>
    <cfRule type="containsText" dxfId="668" priority="3223" operator="containsText" text="N/A">
      <formula>NOT(ISERROR(SEARCH("N/A",Z355)))</formula>
    </cfRule>
    <cfRule type="containsText" dxfId="667" priority="3224" operator="containsText" text="done">
      <formula>NOT(ISERROR(SEARCH("done",Z355)))</formula>
    </cfRule>
    <cfRule type="containsText" dxfId="666" priority="3225" operator="containsText" text="ready">
      <formula>NOT(ISERROR(SEARCH("ready",Z355)))</formula>
    </cfRule>
  </conditionalFormatting>
  <conditionalFormatting sqref="AA3:AA6">
    <cfRule type="containsText" dxfId="665" priority="3881" operator="containsText" text="progress">
      <formula>NOT(ISERROR(SEARCH("progress",AA3)))</formula>
    </cfRule>
    <cfRule type="containsText" dxfId="664" priority="3882" operator="containsText" text="clarification">
      <formula>NOT(ISERROR(SEARCH("clarification",AA3)))</formula>
    </cfRule>
    <cfRule type="containsText" dxfId="663" priority="3883" operator="containsText" text="N/A">
      <formula>NOT(ISERROR(SEARCH("N/A",AA3)))</formula>
    </cfRule>
    <cfRule type="containsText" dxfId="662" priority="3884" operator="containsText" text="done">
      <formula>NOT(ISERROR(SEARCH("done",AA3)))</formula>
    </cfRule>
    <cfRule type="containsText" dxfId="661" priority="3885" operator="containsText" text="ready">
      <formula>NOT(ISERROR(SEARCH("ready",AA3)))</formula>
    </cfRule>
  </conditionalFormatting>
  <conditionalFormatting sqref="AA8:AA17 AA18:AB23 AB24:AB25 AB27 AA36:AA64 AA38:AB38 Y43 Y69:AB69 V69:V73 AA70:AB152 AB351:AB356">
    <cfRule type="containsText" dxfId="660" priority="3982" operator="containsText" text="clarification">
      <formula>NOT(ISERROR(SEARCH("clarification",V8)))</formula>
    </cfRule>
    <cfRule type="containsText" dxfId="659" priority="3983" operator="containsText" text="N/A">
      <formula>NOT(ISERROR(SEARCH("N/A",V8)))</formula>
    </cfRule>
    <cfRule type="containsText" dxfId="658" priority="3984" operator="containsText" text="done">
      <formula>NOT(ISERROR(SEARCH("done",V8)))</formula>
    </cfRule>
    <cfRule type="containsText" dxfId="657" priority="3985" operator="containsText" text="ready">
      <formula>NOT(ISERROR(SEARCH("ready",V8)))</formula>
    </cfRule>
  </conditionalFormatting>
  <conditionalFormatting sqref="AA24:AA35">
    <cfRule type="containsText" dxfId="656" priority="836" operator="containsText" text="clarification">
      <formula>NOT(ISERROR(SEARCH("clarification",AA24)))</formula>
    </cfRule>
    <cfRule type="containsText" dxfId="655" priority="837" operator="containsText" text="N/A">
      <formula>NOT(ISERROR(SEARCH("N/A",AA24)))</formula>
    </cfRule>
    <cfRule type="containsText" dxfId="654" priority="838" operator="containsText" text="done">
      <formula>NOT(ISERROR(SEARCH("done",AA24)))</formula>
    </cfRule>
    <cfRule type="containsText" dxfId="653" priority="839" operator="containsText" text="ready">
      <formula>NOT(ISERROR(SEARCH("ready",AA24)))</formula>
    </cfRule>
  </conditionalFormatting>
  <conditionalFormatting sqref="AA24:AA44">
    <cfRule type="containsText" dxfId="652" priority="835" operator="containsText" text="progress">
      <formula>NOT(ISERROR(SEARCH("progress",AA24)))</formula>
    </cfRule>
  </conditionalFormatting>
  <conditionalFormatting sqref="AA42:AA64 V69:V73 AA70:AB152 AA8:AA17 AA18:AB23 AB24:AB25 AB27 AA38:AB38 Y43 Y69:AB69 AB351:AB356">
    <cfRule type="containsText" dxfId="651" priority="3981" operator="containsText" text="progress">
      <formula>NOT(ISERROR(SEARCH("progress",V8)))</formula>
    </cfRule>
  </conditionalFormatting>
  <conditionalFormatting sqref="AA65">
    <cfRule type="containsText" dxfId="650" priority="975" operator="containsText" text="progress">
      <formula>NOT(ISERROR(SEARCH("progress",AA65)))</formula>
    </cfRule>
    <cfRule type="containsText" dxfId="649" priority="976" operator="containsText" text="clarification">
      <formula>NOT(ISERROR(SEARCH("clarification",AA65)))</formula>
    </cfRule>
    <cfRule type="containsText" dxfId="648" priority="977" operator="containsText" text="N/A">
      <formula>NOT(ISERROR(SEARCH("N/A",AA65)))</formula>
    </cfRule>
    <cfRule type="containsText" dxfId="647" priority="978" operator="containsText" text="done">
      <formula>NOT(ISERROR(SEARCH("done",AA65)))</formula>
    </cfRule>
    <cfRule type="containsText" dxfId="646" priority="979" operator="containsText" text="ready">
      <formula>NOT(ISERROR(SEARCH("ready",AA65)))</formula>
    </cfRule>
    <cfRule type="containsText" dxfId="645" priority="980" operator="containsText" text="progress">
      <formula>NOT(ISERROR(SEARCH("progress",AA65)))</formula>
    </cfRule>
    <cfRule type="containsText" dxfId="644" priority="981" operator="containsText" text="clarification">
      <formula>NOT(ISERROR(SEARCH("clarification",AA65)))</formula>
    </cfRule>
    <cfRule type="containsText" dxfId="643" priority="982" operator="containsText" text="N/A">
      <formula>NOT(ISERROR(SEARCH("N/A",AA65)))</formula>
    </cfRule>
    <cfRule type="containsText" dxfId="642" priority="983" operator="containsText" text="done">
      <formula>NOT(ISERROR(SEARCH("done",AA65)))</formula>
    </cfRule>
    <cfRule type="containsText" dxfId="641" priority="984" operator="containsText" text="ready">
      <formula>NOT(ISERROR(SEARCH("ready",AA65)))</formula>
    </cfRule>
  </conditionalFormatting>
  <conditionalFormatting sqref="AA66">
    <cfRule type="containsText" dxfId="640" priority="3716" operator="containsText" text="progress">
      <formula>NOT(ISERROR(SEARCH("progress",AA66)))</formula>
    </cfRule>
    <cfRule type="containsText" dxfId="639" priority="3717" operator="containsText" text="clarification">
      <formula>NOT(ISERROR(SEARCH("clarification",AA66)))</formula>
    </cfRule>
    <cfRule type="containsText" dxfId="638" priority="3718" operator="containsText" text="N/A">
      <formula>NOT(ISERROR(SEARCH("N/A",AA66)))</formula>
    </cfRule>
    <cfRule type="containsText" dxfId="637" priority="3719" operator="containsText" text="done">
      <formula>NOT(ISERROR(SEARCH("done",AA66)))</formula>
    </cfRule>
    <cfRule type="containsText" dxfId="636" priority="3720" operator="containsText" text="ready">
      <formula>NOT(ISERROR(SEARCH("ready",AA66)))</formula>
    </cfRule>
  </conditionalFormatting>
  <conditionalFormatting sqref="AA66:AA68">
    <cfRule type="containsText" dxfId="635" priority="990" operator="containsText" text="progress">
      <formula>NOT(ISERROR(SEARCH("progress",AA66)))</formula>
    </cfRule>
    <cfRule type="containsText" dxfId="634" priority="991" operator="containsText" text="clarification">
      <formula>NOT(ISERROR(SEARCH("clarification",AA66)))</formula>
    </cfRule>
    <cfRule type="containsText" dxfId="633" priority="992" operator="containsText" text="N/A">
      <formula>NOT(ISERROR(SEARCH("N/A",AA66)))</formula>
    </cfRule>
    <cfRule type="containsText" dxfId="632" priority="993" operator="containsText" text="done">
      <formula>NOT(ISERROR(SEARCH("done",AA66)))</formula>
    </cfRule>
    <cfRule type="containsText" dxfId="631" priority="994" operator="containsText" text="ready">
      <formula>NOT(ISERROR(SEARCH("ready",AA66)))</formula>
    </cfRule>
  </conditionalFormatting>
  <conditionalFormatting sqref="AA67">
    <cfRule type="containsText" dxfId="630" priority="985" operator="containsText" text="progress">
      <formula>NOT(ISERROR(SEARCH("progress",AA67)))</formula>
    </cfRule>
    <cfRule type="containsText" dxfId="629" priority="986" operator="containsText" text="clarification">
      <formula>NOT(ISERROR(SEARCH("clarification",AA67)))</formula>
    </cfRule>
    <cfRule type="containsText" dxfId="628" priority="987" operator="containsText" text="N/A">
      <formula>NOT(ISERROR(SEARCH("N/A",AA67)))</formula>
    </cfRule>
    <cfRule type="containsText" dxfId="627" priority="988" operator="containsText" text="done">
      <formula>NOT(ISERROR(SEARCH("done",AA67)))</formula>
    </cfRule>
    <cfRule type="containsText" dxfId="626" priority="989" operator="containsText" text="ready">
      <formula>NOT(ISERROR(SEARCH("ready",AA67)))</formula>
    </cfRule>
  </conditionalFormatting>
  <conditionalFormatting sqref="AA68">
    <cfRule type="containsText" dxfId="625" priority="1000" operator="containsText" text="progress">
      <formula>NOT(ISERROR(SEARCH("progress",AA68)))</formula>
    </cfRule>
    <cfRule type="containsText" dxfId="624" priority="1001" operator="containsText" text="clarification">
      <formula>NOT(ISERROR(SEARCH("clarification",AA68)))</formula>
    </cfRule>
    <cfRule type="containsText" dxfId="623" priority="1002" operator="containsText" text="N/A">
      <formula>NOT(ISERROR(SEARCH("N/A",AA68)))</formula>
    </cfRule>
    <cfRule type="containsText" dxfId="622" priority="1003" operator="containsText" text="done">
      <formula>NOT(ISERROR(SEARCH("done",AA68)))</formula>
    </cfRule>
    <cfRule type="containsText" dxfId="621" priority="1004" operator="containsText" text="ready">
      <formula>NOT(ISERROR(SEARCH("ready",AA68)))</formula>
    </cfRule>
  </conditionalFormatting>
  <conditionalFormatting sqref="AA70:AA153">
    <cfRule type="containsText" dxfId="620" priority="825" operator="containsText" text="progress">
      <formula>NOT(ISERROR(SEARCH("progress",AA70)))</formula>
    </cfRule>
    <cfRule type="containsText" dxfId="619" priority="826" operator="containsText" text="clarification">
      <formula>NOT(ISERROR(SEARCH("clarification",AA70)))</formula>
    </cfRule>
    <cfRule type="containsText" dxfId="618" priority="827" operator="containsText" text="N/A">
      <formula>NOT(ISERROR(SEARCH("N/A",AA70)))</formula>
    </cfRule>
    <cfRule type="containsText" dxfId="617" priority="828" operator="containsText" text="done">
      <formula>NOT(ISERROR(SEARCH("done",AA70)))</formula>
    </cfRule>
    <cfRule type="containsText" dxfId="616" priority="829" operator="containsText" text="ready">
      <formula>NOT(ISERROR(SEARCH("ready",AA70)))</formula>
    </cfRule>
  </conditionalFormatting>
  <conditionalFormatting sqref="AA358:AA362">
    <cfRule type="containsText" dxfId="615" priority="840" operator="containsText" text="progress">
      <formula>NOT(ISERROR(SEARCH("progress",AA358)))</formula>
    </cfRule>
    <cfRule type="containsText" dxfId="614" priority="841" operator="containsText" text="clarification">
      <formula>NOT(ISERROR(SEARCH("clarification",AA358)))</formula>
    </cfRule>
    <cfRule type="containsText" dxfId="613" priority="842" operator="containsText" text="N/A">
      <formula>NOT(ISERROR(SEARCH("N/A",AA358)))</formula>
    </cfRule>
    <cfRule type="containsText" dxfId="612" priority="843" operator="containsText" text="done">
      <formula>NOT(ISERROR(SEARCH("done",AA358)))</formula>
    </cfRule>
    <cfRule type="containsText" dxfId="611" priority="844" operator="containsText" text="ready">
      <formula>NOT(ISERROR(SEARCH("ready",AA358)))</formula>
    </cfRule>
  </conditionalFormatting>
  <conditionalFormatting sqref="AA163:AB306">
    <cfRule type="containsText" dxfId="610" priority="895" operator="containsText" text="progress">
      <formula>NOT(ISERROR(SEARCH("progress",AA163)))</formula>
    </cfRule>
    <cfRule type="containsText" dxfId="609" priority="896" operator="containsText" text="clarification">
      <formula>NOT(ISERROR(SEARCH("clarification",AA163)))</formula>
    </cfRule>
    <cfRule type="containsText" dxfId="608" priority="897" operator="containsText" text="N/A">
      <formula>NOT(ISERROR(SEARCH("N/A",AA163)))</formula>
    </cfRule>
    <cfRule type="containsText" dxfId="607" priority="898" operator="containsText" text="done">
      <formula>NOT(ISERROR(SEARCH("done",AA163)))</formula>
    </cfRule>
    <cfRule type="containsText" dxfId="606" priority="899" operator="containsText" text="ready">
      <formula>NOT(ISERROR(SEARCH("ready",AA163)))</formula>
    </cfRule>
  </conditionalFormatting>
  <conditionalFormatting sqref="AB8">
    <cfRule type="cellIs" dxfId="605" priority="3986" operator="notBetween">
      <formula>$D8</formula>
      <formula>-$D8</formula>
    </cfRule>
    <cfRule type="cellIs" dxfId="604" priority="3987" operator="between">
      <formula>$D8</formula>
      <formula>-$D8</formula>
    </cfRule>
  </conditionalFormatting>
  <conditionalFormatting sqref="AB39:AB44 AA42:AA44 AA45:AB64 AB65:AB68">
    <cfRule type="containsText" dxfId="603" priority="3958" operator="containsText" text="N/A">
      <formula>NOT(ISERROR(SEARCH("N/A",AA39)))</formula>
    </cfRule>
    <cfRule type="containsText" dxfId="602" priority="3959" operator="containsText" text="done">
      <formula>NOT(ISERROR(SEARCH("done",AA39)))</formula>
    </cfRule>
    <cfRule type="containsText" dxfId="601" priority="3960" operator="containsText" text="ready">
      <formula>NOT(ISERROR(SEARCH("ready",AA39)))</formula>
    </cfRule>
  </conditionalFormatting>
  <conditionalFormatting sqref="AB39:AB44 AA45:AB64 AB65:AB68 AA42:AA44">
    <cfRule type="containsText" dxfId="600" priority="3957" operator="containsText" text="clarification">
      <formula>NOT(ISERROR(SEARCH("clarification",AA39)))</formula>
    </cfRule>
  </conditionalFormatting>
  <conditionalFormatting sqref="AB39:AB44 AA45:AB64 AB65:AB68">
    <cfRule type="containsText" dxfId="599" priority="3956" operator="containsText" text="progress">
      <formula>NOT(ISERROR(SEARCH("progress",AA39)))</formula>
    </cfRule>
  </conditionalFormatting>
  <conditionalFormatting sqref="AB153">
    <cfRule type="containsText" dxfId="598" priority="2546" operator="containsText" text="progress">
      <formula>NOT(ISERROR(SEARCH("progress",AB153)))</formula>
    </cfRule>
    <cfRule type="containsText" dxfId="597" priority="2547" operator="containsText" text="clarification">
      <formula>NOT(ISERROR(SEARCH("clarification",AB153)))</formula>
    </cfRule>
    <cfRule type="containsText" dxfId="596" priority="2548" operator="containsText" text="N/A">
      <formula>NOT(ISERROR(SEARCH("N/A",AB153)))</formula>
    </cfRule>
    <cfRule type="containsText" dxfId="595" priority="2549" operator="containsText" text="done">
      <formula>NOT(ISERROR(SEARCH("done",AB153)))</formula>
    </cfRule>
    <cfRule type="containsText" dxfId="594" priority="2550" operator="containsText" text="ready">
      <formula>NOT(ISERROR(SEARCH("ready",AB153)))</formula>
    </cfRule>
  </conditionalFormatting>
  <conditionalFormatting sqref="AD25:AD27">
    <cfRule type="containsText" dxfId="593" priority="733" operator="containsText" text="progress">
      <formula>NOT(ISERROR(SEARCH("progress",AD25)))</formula>
    </cfRule>
    <cfRule type="containsText" dxfId="592" priority="734" operator="containsText" text="clarification">
      <formula>NOT(ISERROR(SEARCH("clarification",AD25)))</formula>
    </cfRule>
    <cfRule type="containsText" dxfId="591" priority="735" operator="containsText" text="N/A">
      <formula>NOT(ISERROR(SEARCH("N/A",AD25)))</formula>
    </cfRule>
    <cfRule type="containsText" dxfId="590" priority="736" operator="containsText" text="done">
      <formula>NOT(ISERROR(SEARCH("done",AD25)))</formula>
    </cfRule>
    <cfRule type="containsText" dxfId="589" priority="737" operator="containsText" text="ready">
      <formula>NOT(ISERROR(SEARCH("ready",AD25)))</formula>
    </cfRule>
  </conditionalFormatting>
  <conditionalFormatting sqref="AD36:AD38">
    <cfRule type="containsText" dxfId="588" priority="728" operator="containsText" text="progress">
      <formula>NOT(ISERROR(SEARCH("progress",AD36)))</formula>
    </cfRule>
    <cfRule type="containsText" dxfId="587" priority="729" operator="containsText" text="clarification">
      <formula>NOT(ISERROR(SEARCH("clarification",AD36)))</formula>
    </cfRule>
    <cfRule type="containsText" dxfId="586" priority="730" operator="containsText" text="N/A">
      <formula>NOT(ISERROR(SEARCH("N/A",AD36)))</formula>
    </cfRule>
    <cfRule type="containsText" dxfId="585" priority="731" operator="containsText" text="done">
      <formula>NOT(ISERROR(SEARCH("done",AD36)))</formula>
    </cfRule>
    <cfRule type="containsText" dxfId="584" priority="732" operator="containsText" text="ready">
      <formula>NOT(ISERROR(SEARCH("ready",AD36)))</formula>
    </cfRule>
  </conditionalFormatting>
  <conditionalFormatting sqref="AD42:AD44">
    <cfRule type="containsText" dxfId="583" priority="723" operator="containsText" text="progress">
      <formula>NOT(ISERROR(SEARCH("progress",AD42)))</formula>
    </cfRule>
    <cfRule type="containsText" dxfId="582" priority="724" operator="containsText" text="clarification">
      <formula>NOT(ISERROR(SEARCH("clarification",AD42)))</formula>
    </cfRule>
    <cfRule type="containsText" dxfId="581" priority="725" operator="containsText" text="N/A">
      <formula>NOT(ISERROR(SEARCH("N/A",AD42)))</formula>
    </cfRule>
    <cfRule type="containsText" dxfId="580" priority="726" operator="containsText" text="done">
      <formula>NOT(ISERROR(SEARCH("done",AD42)))</formula>
    </cfRule>
    <cfRule type="containsText" dxfId="579" priority="727" operator="containsText" text="ready">
      <formula>NOT(ISERROR(SEARCH("ready",AD42)))</formula>
    </cfRule>
  </conditionalFormatting>
  <conditionalFormatting sqref="AD72">
    <cfRule type="containsText" dxfId="578" priority="568" operator="containsText" text="progress">
      <formula>NOT(ISERROR(SEARCH("progress",AD72)))</formula>
    </cfRule>
    <cfRule type="containsText" dxfId="577" priority="569" operator="containsText" text="clarification">
      <formula>NOT(ISERROR(SEARCH("clarification",AD72)))</formula>
    </cfRule>
    <cfRule type="containsText" dxfId="576" priority="570" operator="containsText" text="N/A">
      <formula>NOT(ISERROR(SEARCH("N/A",AD72)))</formula>
    </cfRule>
    <cfRule type="containsText" dxfId="575" priority="571" operator="containsText" text="done">
      <formula>NOT(ISERROR(SEARCH("done",AD72)))</formula>
    </cfRule>
    <cfRule type="containsText" dxfId="574" priority="572" operator="containsText" text="ready">
      <formula>NOT(ISERROR(SEARCH("ready",AD72)))</formula>
    </cfRule>
  </conditionalFormatting>
  <conditionalFormatting sqref="AD72:AD88">
    <cfRule type="containsText" dxfId="573" priority="558" operator="containsText" text="progress">
      <formula>NOT(ISERROR(SEARCH("progress",AD72)))</formula>
    </cfRule>
    <cfRule type="containsText" dxfId="572" priority="559" operator="containsText" text="clarification">
      <formula>NOT(ISERROR(SEARCH("clarification",AD72)))</formula>
    </cfRule>
    <cfRule type="containsText" dxfId="571" priority="560" operator="containsText" text="N/A">
      <formula>NOT(ISERROR(SEARCH("N/A",AD72)))</formula>
    </cfRule>
    <cfRule type="containsText" dxfId="570" priority="561" operator="containsText" text="done">
      <formula>NOT(ISERROR(SEARCH("done",AD72)))</formula>
    </cfRule>
    <cfRule type="containsText" dxfId="569" priority="562" operator="containsText" text="ready">
      <formula>NOT(ISERROR(SEARCH("ready",AD72)))</formula>
    </cfRule>
  </conditionalFormatting>
  <conditionalFormatting sqref="AD73">
    <cfRule type="containsText" dxfId="568" priority="553" operator="containsText" text="progress">
      <formula>NOT(ISERROR(SEARCH("progress",AD73)))</formula>
    </cfRule>
    <cfRule type="containsText" dxfId="567" priority="554" operator="containsText" text="clarification">
      <formula>NOT(ISERROR(SEARCH("clarification",AD73)))</formula>
    </cfRule>
    <cfRule type="containsText" dxfId="566" priority="555" operator="containsText" text="N/A">
      <formula>NOT(ISERROR(SEARCH("N/A",AD73)))</formula>
    </cfRule>
    <cfRule type="containsText" dxfId="565" priority="556" operator="containsText" text="done">
      <formula>NOT(ISERROR(SEARCH("done",AD73)))</formula>
    </cfRule>
    <cfRule type="containsText" dxfId="564" priority="557" operator="containsText" text="ready">
      <formula>NOT(ISERROR(SEARCH("ready",AD73)))</formula>
    </cfRule>
  </conditionalFormatting>
  <conditionalFormatting sqref="AD74:AD77">
    <cfRule type="containsText" dxfId="563" priority="773" operator="containsText" text="progress">
      <formula>NOT(ISERROR(SEARCH("progress",AD74)))</formula>
    </cfRule>
    <cfRule type="containsText" dxfId="562" priority="774" operator="containsText" text="clarification">
      <formula>NOT(ISERROR(SEARCH("clarification",AD74)))</formula>
    </cfRule>
    <cfRule type="containsText" dxfId="561" priority="775" operator="containsText" text="N/A">
      <formula>NOT(ISERROR(SEARCH("N/A",AD74)))</formula>
    </cfRule>
    <cfRule type="containsText" dxfId="560" priority="776" operator="containsText" text="done">
      <formula>NOT(ISERROR(SEARCH("done",AD74)))</formula>
    </cfRule>
    <cfRule type="containsText" dxfId="559" priority="777" operator="containsText" text="ready">
      <formula>NOT(ISERROR(SEARCH("ready",AD74)))</formula>
    </cfRule>
  </conditionalFormatting>
  <conditionalFormatting sqref="AD11:AE11 AG14">
    <cfRule type="containsText" dxfId="558" priority="798" operator="containsText" text="progress">
      <formula>NOT(ISERROR(SEARCH("progress",AD11)))</formula>
    </cfRule>
    <cfRule type="containsText" dxfId="557" priority="799" operator="containsText" text="clarification">
      <formula>NOT(ISERROR(SEARCH("clarification",AD11)))</formula>
    </cfRule>
    <cfRule type="containsText" dxfId="556" priority="800" operator="containsText" text="N/A">
      <formula>NOT(ISERROR(SEARCH("N/A",AD11)))</formula>
    </cfRule>
    <cfRule type="containsText" dxfId="555" priority="801" operator="containsText" text="done">
      <formula>NOT(ISERROR(SEARCH("done",AD11)))</formula>
    </cfRule>
    <cfRule type="containsText" dxfId="554" priority="802" operator="containsText" text="ready">
      <formula>NOT(ISERROR(SEARCH("ready",AD11)))</formula>
    </cfRule>
  </conditionalFormatting>
  <conditionalFormatting sqref="AD13:AE15">
    <cfRule type="containsText" dxfId="553" priority="738" operator="containsText" text="progress">
      <formula>NOT(ISERROR(SEARCH("progress",AD13)))</formula>
    </cfRule>
    <cfRule type="containsText" dxfId="552" priority="739" operator="containsText" text="clarification">
      <formula>NOT(ISERROR(SEARCH("clarification",AD13)))</formula>
    </cfRule>
    <cfRule type="containsText" dxfId="551" priority="740" operator="containsText" text="N/A">
      <formula>NOT(ISERROR(SEARCH("N/A",AD13)))</formula>
    </cfRule>
    <cfRule type="containsText" dxfId="550" priority="741" operator="containsText" text="done">
      <formula>NOT(ISERROR(SEARCH("done",AD13)))</formula>
    </cfRule>
    <cfRule type="containsText" dxfId="549" priority="742" operator="containsText" text="ready">
      <formula>NOT(ISERROR(SEARCH("ready",AD13)))</formula>
    </cfRule>
  </conditionalFormatting>
  <conditionalFormatting sqref="AD70:AE71">
    <cfRule type="containsText" dxfId="548" priority="573" operator="containsText" text="progress">
      <formula>NOT(ISERROR(SEARCH("progress",AD70)))</formula>
    </cfRule>
    <cfRule type="containsText" dxfId="547" priority="574" operator="containsText" text="clarification">
      <formula>NOT(ISERROR(SEARCH("clarification",AD70)))</formula>
    </cfRule>
    <cfRule type="containsText" dxfId="546" priority="575" operator="containsText" text="N/A">
      <formula>NOT(ISERROR(SEARCH("N/A",AD70)))</formula>
    </cfRule>
    <cfRule type="containsText" dxfId="545" priority="576" operator="containsText" text="done">
      <formula>NOT(ISERROR(SEARCH("done",AD70)))</formula>
    </cfRule>
    <cfRule type="containsText" dxfId="544" priority="577" operator="containsText" text="ready">
      <formula>NOT(ISERROR(SEARCH("ready",AD70)))</formula>
    </cfRule>
  </conditionalFormatting>
  <conditionalFormatting sqref="AD89:AE242">
    <cfRule type="containsText" dxfId="543" priority="533" operator="containsText" text="progress">
      <formula>NOT(ISERROR(SEARCH("progress",AD89)))</formula>
    </cfRule>
    <cfRule type="containsText" dxfId="542" priority="534" operator="containsText" text="clarification">
      <formula>NOT(ISERROR(SEARCH("clarification",AD89)))</formula>
    </cfRule>
    <cfRule type="containsText" dxfId="541" priority="535" operator="containsText" text="N/A">
      <formula>NOT(ISERROR(SEARCH("N/A",AD89)))</formula>
    </cfRule>
    <cfRule type="containsText" dxfId="540" priority="536" operator="containsText" text="done">
      <formula>NOT(ISERROR(SEARCH("done",AD89)))</formula>
    </cfRule>
    <cfRule type="containsText" dxfId="539" priority="537" operator="containsText" text="ready">
      <formula>NOT(ISERROR(SEARCH("ready",AD89)))</formula>
    </cfRule>
  </conditionalFormatting>
  <conditionalFormatting sqref="AD236:AE309 AI350:AJ350">
    <cfRule type="containsText" dxfId="538" priority="820" operator="containsText" text="progress">
      <formula>NOT(ISERROR(SEARCH("progress",AD236)))</formula>
    </cfRule>
    <cfRule type="containsText" dxfId="537" priority="821" operator="containsText" text="clarification">
      <formula>NOT(ISERROR(SEARCH("clarification",AD236)))</formula>
    </cfRule>
    <cfRule type="containsText" dxfId="536" priority="822" operator="containsText" text="N/A">
      <formula>NOT(ISERROR(SEARCH("N/A",AD236)))</formula>
    </cfRule>
    <cfRule type="containsText" dxfId="535" priority="823" operator="containsText" text="done">
      <formula>NOT(ISERROR(SEARCH("done",AD236)))</formula>
    </cfRule>
    <cfRule type="containsText" dxfId="534" priority="824" operator="containsText" text="ready">
      <formula>NOT(ISERROR(SEARCH("ready",AD236)))</formula>
    </cfRule>
  </conditionalFormatting>
  <conditionalFormatting sqref="AD310:AE325 AE326:AE329">
    <cfRule type="containsText" dxfId="533" priority="523" operator="containsText" text="progress">
      <formula>NOT(ISERROR(SEARCH("progress",AD310)))</formula>
    </cfRule>
    <cfRule type="containsText" dxfId="532" priority="524" operator="containsText" text="clarification">
      <formula>NOT(ISERROR(SEARCH("clarification",AD310)))</formula>
    </cfRule>
    <cfRule type="containsText" dxfId="531" priority="525" operator="containsText" text="N/A">
      <formula>NOT(ISERROR(SEARCH("N/A",AD310)))</formula>
    </cfRule>
    <cfRule type="containsText" dxfId="530" priority="526" operator="containsText" text="done">
      <formula>NOT(ISERROR(SEARCH("done",AD310)))</formula>
    </cfRule>
    <cfRule type="containsText" dxfId="529" priority="527" operator="containsText" text="ready">
      <formula>NOT(ISERROR(SEARCH("ready",AD310)))</formula>
    </cfRule>
  </conditionalFormatting>
  <conditionalFormatting sqref="AD47:AF50">
    <cfRule type="containsText" dxfId="528" priority="683" operator="containsText" text="progress">
      <formula>NOT(ISERROR(SEARCH("progress",AD47)))</formula>
    </cfRule>
    <cfRule type="containsText" dxfId="527" priority="684" operator="containsText" text="clarification">
      <formula>NOT(ISERROR(SEARCH("clarification",AD47)))</formula>
    </cfRule>
    <cfRule type="containsText" dxfId="526" priority="685" operator="containsText" text="N/A">
      <formula>NOT(ISERROR(SEARCH("N/A",AD47)))</formula>
    </cfRule>
    <cfRule type="containsText" dxfId="525" priority="686" operator="containsText" text="done">
      <formula>NOT(ISERROR(SEARCH("done",AD47)))</formula>
    </cfRule>
    <cfRule type="containsText" dxfId="524" priority="687" operator="containsText" text="ready">
      <formula>NOT(ISERROR(SEARCH("ready",AD47)))</formula>
    </cfRule>
  </conditionalFormatting>
  <conditionalFormatting sqref="AD70:AF71">
    <cfRule type="containsText" dxfId="523" priority="578" operator="containsText" text="progress">
      <formula>NOT(ISERROR(SEARCH("progress",AD70)))</formula>
    </cfRule>
    <cfRule type="containsText" dxfId="522" priority="579" operator="containsText" text="clarification">
      <formula>NOT(ISERROR(SEARCH("clarification",AD70)))</formula>
    </cfRule>
    <cfRule type="containsText" dxfId="521" priority="580" operator="containsText" text="N/A">
      <formula>NOT(ISERROR(SEARCH("N/A",AD70)))</formula>
    </cfRule>
    <cfRule type="containsText" dxfId="520" priority="581" operator="containsText" text="done">
      <formula>NOT(ISERROR(SEARCH("done",AD70)))</formula>
    </cfRule>
    <cfRule type="containsText" dxfId="519" priority="582" operator="containsText" text="ready">
      <formula>NOT(ISERROR(SEARCH("ready",AD70)))</formula>
    </cfRule>
  </conditionalFormatting>
  <conditionalFormatting sqref="AD7:AJ7 AD30:AF30 AD69:AJ69 AF70:AF71 AE72:AF74">
    <cfRule type="containsText" dxfId="518" priority="699" operator="containsText" text="clarification">
      <formula>NOT(ISERROR(SEARCH("clarification",AD7)))</formula>
    </cfRule>
    <cfRule type="containsText" dxfId="517" priority="700" operator="containsText" text="N/A">
      <formula>NOT(ISERROR(SEARCH("N/A",AD7)))</formula>
    </cfRule>
    <cfRule type="containsText" dxfId="516" priority="701" operator="containsText" text="done">
      <formula>NOT(ISERROR(SEARCH("done",AD7)))</formula>
    </cfRule>
    <cfRule type="containsText" dxfId="515" priority="702" operator="containsText" text="ready">
      <formula>NOT(ISERROR(SEARCH("ready",AD7)))</formula>
    </cfRule>
  </conditionalFormatting>
  <conditionalFormatting sqref="AE12">
    <cfRule type="containsText" dxfId="514" priority="638" operator="containsText" text="progress">
      <formula>NOT(ISERROR(SEARCH("progress",AE12)))</formula>
    </cfRule>
    <cfRule type="containsText" dxfId="513" priority="639" operator="containsText" text="clarification">
      <formula>NOT(ISERROR(SEARCH("clarification",AE12)))</formula>
    </cfRule>
    <cfRule type="containsText" dxfId="512" priority="640" operator="containsText" text="N/A">
      <formula>NOT(ISERROR(SEARCH("N/A",AE12)))</formula>
    </cfRule>
    <cfRule type="containsText" dxfId="511" priority="641" operator="containsText" text="done">
      <formula>NOT(ISERROR(SEARCH("done",AE12)))</formula>
    </cfRule>
    <cfRule type="containsText" dxfId="510" priority="642" operator="containsText" text="ready">
      <formula>NOT(ISERROR(SEARCH("ready",AE12)))</formula>
    </cfRule>
  </conditionalFormatting>
  <conditionalFormatting sqref="AE286">
    <cfRule type="containsText" dxfId="509" priority="718" operator="containsText" text="progress">
      <formula>NOT(ISERROR(SEARCH("progress",AE286)))</formula>
    </cfRule>
    <cfRule type="containsText" dxfId="508" priority="719" operator="containsText" text="clarification">
      <formula>NOT(ISERROR(SEARCH("clarification",AE286)))</formula>
    </cfRule>
    <cfRule type="containsText" dxfId="507" priority="720" operator="containsText" text="N/A">
      <formula>NOT(ISERROR(SEARCH("N/A",AE286)))</formula>
    </cfRule>
    <cfRule type="containsText" dxfId="506" priority="721" operator="containsText" text="done">
      <formula>NOT(ISERROR(SEARCH("done",AE286)))</formula>
    </cfRule>
    <cfRule type="containsText" dxfId="505" priority="722" operator="containsText" text="ready">
      <formula>NOT(ISERROR(SEARCH("ready",AE286)))</formula>
    </cfRule>
  </conditionalFormatting>
  <conditionalFormatting sqref="AE24:AF27">
    <cfRule type="containsText" dxfId="504" priority="668" operator="containsText" text="progress">
      <formula>NOT(ISERROR(SEARCH("progress",AE24)))</formula>
    </cfRule>
    <cfRule type="containsText" dxfId="503" priority="669" operator="containsText" text="clarification">
      <formula>NOT(ISERROR(SEARCH("clarification",AE24)))</formula>
    </cfRule>
    <cfRule type="containsText" dxfId="502" priority="670" operator="containsText" text="N/A">
      <formula>NOT(ISERROR(SEARCH("N/A",AE24)))</formula>
    </cfRule>
    <cfRule type="containsText" dxfId="501" priority="671" operator="containsText" text="done">
      <formula>NOT(ISERROR(SEARCH("done",AE24)))</formula>
    </cfRule>
    <cfRule type="containsText" dxfId="500" priority="672" operator="containsText" text="ready">
      <formula>NOT(ISERROR(SEARCH("ready",AE24)))</formula>
    </cfRule>
  </conditionalFormatting>
  <conditionalFormatting sqref="AE35:AF38">
    <cfRule type="containsText" dxfId="499" priority="663" operator="containsText" text="progress">
      <formula>NOT(ISERROR(SEARCH("progress",AE35)))</formula>
    </cfRule>
    <cfRule type="containsText" dxfId="498" priority="664" operator="containsText" text="clarification">
      <formula>NOT(ISERROR(SEARCH("clarification",AE35)))</formula>
    </cfRule>
    <cfRule type="containsText" dxfId="497" priority="665" operator="containsText" text="N/A">
      <formula>NOT(ISERROR(SEARCH("N/A",AE35)))</formula>
    </cfRule>
    <cfRule type="containsText" dxfId="496" priority="666" operator="containsText" text="done">
      <formula>NOT(ISERROR(SEARCH("done",AE35)))</formula>
    </cfRule>
    <cfRule type="containsText" dxfId="495" priority="667" operator="containsText" text="ready">
      <formula>NOT(ISERROR(SEARCH("ready",AE35)))</formula>
    </cfRule>
  </conditionalFormatting>
  <conditionalFormatting sqref="AE41:AF44">
    <cfRule type="containsText" dxfId="494" priority="658" operator="containsText" text="progress">
      <formula>NOT(ISERROR(SEARCH("progress",AE41)))</formula>
    </cfRule>
    <cfRule type="containsText" dxfId="493" priority="659" operator="containsText" text="clarification">
      <formula>NOT(ISERROR(SEARCH("clarification",AE41)))</formula>
    </cfRule>
    <cfRule type="containsText" dxfId="492" priority="660" operator="containsText" text="N/A">
      <formula>NOT(ISERROR(SEARCH("N/A",AE41)))</formula>
    </cfRule>
    <cfRule type="containsText" dxfId="491" priority="661" operator="containsText" text="done">
      <formula>NOT(ISERROR(SEARCH("done",AE41)))</formula>
    </cfRule>
    <cfRule type="containsText" dxfId="490" priority="662" operator="containsText" text="ready">
      <formula>NOT(ISERROR(SEARCH("ready",AE41)))</formula>
    </cfRule>
  </conditionalFormatting>
  <conditionalFormatting sqref="AE72:AF74 AF70:AF71 AD7:AJ7 AD30:AF30 AD69:AJ69">
    <cfRule type="containsText" dxfId="489" priority="698" operator="containsText" text="progress">
      <formula>NOT(ISERROR(SEARCH("progress",AD7)))</formula>
    </cfRule>
  </conditionalFormatting>
  <conditionalFormatting sqref="AE72:AF88">
    <cfRule type="containsText" dxfId="488" priority="693" operator="containsText" text="progress">
      <formula>NOT(ISERROR(SEARCH("progress",AE72)))</formula>
    </cfRule>
    <cfRule type="containsText" dxfId="487" priority="694" operator="containsText" text="clarification">
      <formula>NOT(ISERROR(SEARCH("clarification",AE72)))</formula>
    </cfRule>
    <cfRule type="containsText" dxfId="486" priority="695" operator="containsText" text="N/A">
      <formula>NOT(ISERROR(SEARCH("N/A",AE72)))</formula>
    </cfRule>
    <cfRule type="containsText" dxfId="485" priority="696" operator="containsText" text="done">
      <formula>NOT(ISERROR(SEARCH("done",AE72)))</formula>
    </cfRule>
    <cfRule type="containsText" dxfId="484" priority="697" operator="containsText" text="ready">
      <formula>NOT(ISERROR(SEARCH("ready",AE72)))</formula>
    </cfRule>
  </conditionalFormatting>
  <conditionalFormatting sqref="AE76:AF77">
    <cfRule type="containsText" dxfId="483" priority="678" operator="containsText" text="progress">
      <formula>NOT(ISERROR(SEARCH("progress",AE76)))</formula>
    </cfRule>
    <cfRule type="containsText" dxfId="482" priority="679" operator="containsText" text="clarification">
      <formula>NOT(ISERROR(SEARCH("clarification",AE76)))</formula>
    </cfRule>
    <cfRule type="containsText" dxfId="481" priority="680" operator="containsText" text="N/A">
      <formula>NOT(ISERROR(SEARCH("N/A",AE76)))</formula>
    </cfRule>
    <cfRule type="containsText" dxfId="480" priority="681" operator="containsText" text="done">
      <formula>NOT(ISERROR(SEARCH("done",AE76)))</formula>
    </cfRule>
    <cfRule type="containsText" dxfId="479" priority="682" operator="containsText" text="ready">
      <formula>NOT(ISERROR(SEARCH("ready",AE76)))</formula>
    </cfRule>
  </conditionalFormatting>
  <conditionalFormatting sqref="AF11:AF15">
    <cfRule type="containsText" dxfId="478" priority="688" operator="containsText" text="progress">
      <formula>NOT(ISERROR(SEARCH("progress",AF11)))</formula>
    </cfRule>
    <cfRule type="containsText" dxfId="477" priority="689" operator="containsText" text="clarification">
      <formula>NOT(ISERROR(SEARCH("clarification",AF11)))</formula>
    </cfRule>
    <cfRule type="containsText" dxfId="476" priority="690" operator="containsText" text="N/A">
      <formula>NOT(ISERROR(SEARCH("N/A",AF11)))</formula>
    </cfRule>
    <cfRule type="containsText" dxfId="475" priority="691" operator="containsText" text="done">
      <formula>NOT(ISERROR(SEARCH("done",AF11)))</formula>
    </cfRule>
    <cfRule type="containsText" dxfId="474" priority="692" operator="containsText" text="ready">
      <formula>NOT(ISERROR(SEARCH("ready",AF11)))</formula>
    </cfRule>
  </conditionalFormatting>
  <conditionalFormatting sqref="AF89:AF153">
    <cfRule type="containsText" dxfId="473" priority="673" operator="containsText" text="progress">
      <formula>NOT(ISERROR(SEARCH("progress",AF89)))</formula>
    </cfRule>
    <cfRule type="containsText" dxfId="472" priority="674" operator="containsText" text="clarification">
      <formula>NOT(ISERROR(SEARCH("clarification",AF89)))</formula>
    </cfRule>
    <cfRule type="containsText" dxfId="471" priority="675" operator="containsText" text="N/A">
      <formula>NOT(ISERROR(SEARCH("N/A",AF89)))</formula>
    </cfRule>
    <cfRule type="containsText" dxfId="470" priority="676" operator="containsText" text="done">
      <formula>NOT(ISERROR(SEARCH("done",AF89)))</formula>
    </cfRule>
    <cfRule type="containsText" dxfId="469" priority="677" operator="containsText" text="ready">
      <formula>NOT(ISERROR(SEARCH("ready",AF89)))</formula>
    </cfRule>
  </conditionalFormatting>
  <conditionalFormatting sqref="AF163:AF227">
    <cfRule type="containsText" dxfId="468" priority="643" operator="containsText" text="progress">
      <formula>NOT(ISERROR(SEARCH("progress",AF163)))</formula>
    </cfRule>
    <cfRule type="containsText" dxfId="467" priority="644" operator="containsText" text="clarification">
      <formula>NOT(ISERROR(SEARCH("clarification",AF163)))</formula>
    </cfRule>
    <cfRule type="containsText" dxfId="466" priority="645" operator="containsText" text="N/A">
      <formula>NOT(ISERROR(SEARCH("N/A",AF163)))</formula>
    </cfRule>
    <cfRule type="containsText" dxfId="465" priority="646" operator="containsText" text="done">
      <formula>NOT(ISERROR(SEARCH("done",AF163)))</formula>
    </cfRule>
    <cfRule type="containsText" dxfId="464" priority="647" operator="containsText" text="ready">
      <formula>NOT(ISERROR(SEARCH("ready",AF163)))</formula>
    </cfRule>
  </conditionalFormatting>
  <conditionalFormatting sqref="AF228:AF309 AD330:AF356">
    <cfRule type="containsText" dxfId="463" priority="653" operator="containsText" text="progress">
      <formula>NOT(ISERROR(SEARCH("progress",AD228)))</formula>
    </cfRule>
    <cfRule type="containsText" dxfId="462" priority="654" operator="containsText" text="clarification">
      <formula>NOT(ISERROR(SEARCH("clarification",AD228)))</formula>
    </cfRule>
    <cfRule type="containsText" dxfId="461" priority="655" operator="containsText" text="N/A">
      <formula>NOT(ISERROR(SEARCH("N/A",AD228)))</formula>
    </cfRule>
    <cfRule type="containsText" dxfId="460" priority="656" operator="containsText" text="done">
      <formula>NOT(ISERROR(SEARCH("done",AD228)))</formula>
    </cfRule>
    <cfRule type="containsText" dxfId="459" priority="657" operator="containsText" text="ready">
      <formula>NOT(ISERROR(SEARCH("ready",AD228)))</formula>
    </cfRule>
  </conditionalFormatting>
  <conditionalFormatting sqref="AF236:AF242">
    <cfRule type="containsText" dxfId="458" priority="648" operator="containsText" text="progress">
      <formula>NOT(ISERROR(SEARCH("progress",AF236)))</formula>
    </cfRule>
    <cfRule type="containsText" dxfId="457" priority="649" operator="containsText" text="clarification">
      <formula>NOT(ISERROR(SEARCH("clarification",AF236)))</formula>
    </cfRule>
    <cfRule type="containsText" dxfId="456" priority="650" operator="containsText" text="N/A">
      <formula>NOT(ISERROR(SEARCH("N/A",AF236)))</formula>
    </cfRule>
    <cfRule type="containsText" dxfId="455" priority="651" operator="containsText" text="done">
      <formula>NOT(ISERROR(SEARCH("done",AF236)))</formula>
    </cfRule>
    <cfRule type="containsText" dxfId="454" priority="652" operator="containsText" text="ready">
      <formula>NOT(ISERROR(SEARCH("ready",AF236)))</formula>
    </cfRule>
  </conditionalFormatting>
  <conditionalFormatting sqref="AF310:AF329">
    <cfRule type="containsText" dxfId="453" priority="518" operator="containsText" text="progress">
      <formula>NOT(ISERROR(SEARCH("progress",AF310)))</formula>
    </cfRule>
    <cfRule type="containsText" dxfId="452" priority="519" operator="containsText" text="clarification">
      <formula>NOT(ISERROR(SEARCH("clarification",AF310)))</formula>
    </cfRule>
    <cfRule type="containsText" dxfId="451" priority="520" operator="containsText" text="N/A">
      <formula>NOT(ISERROR(SEARCH("N/A",AF310)))</formula>
    </cfRule>
    <cfRule type="containsText" dxfId="450" priority="521" operator="containsText" text="done">
      <formula>NOT(ISERROR(SEARCH("done",AF310)))</formula>
    </cfRule>
    <cfRule type="containsText" dxfId="449" priority="522" operator="containsText" text="ready">
      <formula>NOT(ISERROR(SEARCH("ready",AF310)))</formula>
    </cfRule>
  </conditionalFormatting>
  <conditionalFormatting sqref="AF154:AJ162">
    <cfRule type="containsText" dxfId="448" priority="703" operator="containsText" text="progress">
      <formula>NOT(ISERROR(SEARCH("progress",AF154)))</formula>
    </cfRule>
    <cfRule type="containsText" dxfId="447" priority="704" operator="containsText" text="clarification">
      <formula>NOT(ISERROR(SEARCH("clarification",AF154)))</formula>
    </cfRule>
    <cfRule type="containsText" dxfId="446" priority="705" operator="containsText" text="N/A">
      <formula>NOT(ISERROR(SEARCH("N/A",AF154)))</formula>
    </cfRule>
    <cfRule type="containsText" dxfId="445" priority="706" operator="containsText" text="done">
      <formula>NOT(ISERROR(SEARCH("done",AF154)))</formula>
    </cfRule>
    <cfRule type="containsText" dxfId="444" priority="707" operator="containsText" text="ready">
      <formula>NOT(ISERROR(SEARCH("ready",AF154)))</formula>
    </cfRule>
  </conditionalFormatting>
  <conditionalFormatting sqref="AG26">
    <cfRule type="containsText" dxfId="443" priority="803" operator="containsText" text="progress">
      <formula>NOT(ISERROR(SEARCH("progress",AG26)))</formula>
    </cfRule>
    <cfRule type="containsText" dxfId="442" priority="804" operator="containsText" text="clarification">
      <formula>NOT(ISERROR(SEARCH("clarification",AG26)))</formula>
    </cfRule>
    <cfRule type="containsText" dxfId="441" priority="805" operator="containsText" text="N/A">
      <formula>NOT(ISERROR(SEARCH("N/A",AG26)))</formula>
    </cfRule>
    <cfRule type="containsText" dxfId="440" priority="806" operator="containsText" text="done">
      <formula>NOT(ISERROR(SEARCH("done",AG26)))</formula>
    </cfRule>
    <cfRule type="containsText" dxfId="439" priority="807" operator="containsText" text="ready">
      <formula>NOT(ISERROR(SEARCH("ready",AG26)))</formula>
    </cfRule>
  </conditionalFormatting>
  <conditionalFormatting sqref="AG37">
    <cfRule type="containsText" dxfId="438" priority="793" operator="containsText" text="progress">
      <formula>NOT(ISERROR(SEARCH("progress",AG37)))</formula>
    </cfRule>
    <cfRule type="containsText" dxfId="437" priority="794" operator="containsText" text="clarification">
      <formula>NOT(ISERROR(SEARCH("clarification",AG37)))</formula>
    </cfRule>
    <cfRule type="containsText" dxfId="436" priority="795" operator="containsText" text="N/A">
      <formula>NOT(ISERROR(SEARCH("N/A",AG37)))</formula>
    </cfRule>
    <cfRule type="containsText" dxfId="435" priority="796" operator="containsText" text="done">
      <formula>NOT(ISERROR(SEARCH("done",AG37)))</formula>
    </cfRule>
    <cfRule type="containsText" dxfId="434" priority="797" operator="containsText" text="ready">
      <formula>NOT(ISERROR(SEARCH("ready",AG37)))</formula>
    </cfRule>
  </conditionalFormatting>
  <conditionalFormatting sqref="AG49">
    <cfRule type="containsText" dxfId="433" priority="788" operator="containsText" text="progress">
      <formula>NOT(ISERROR(SEARCH("progress",AG49)))</formula>
    </cfRule>
    <cfRule type="containsText" dxfId="432" priority="789" operator="containsText" text="clarification">
      <formula>NOT(ISERROR(SEARCH("clarification",AG49)))</formula>
    </cfRule>
    <cfRule type="containsText" dxfId="431" priority="790" operator="containsText" text="N/A">
      <formula>NOT(ISERROR(SEARCH("N/A",AG49)))</formula>
    </cfRule>
    <cfRule type="containsText" dxfId="430" priority="791" operator="containsText" text="done">
      <formula>NOT(ISERROR(SEARCH("done",AG49)))</formula>
    </cfRule>
    <cfRule type="containsText" dxfId="429" priority="792" operator="containsText" text="ready">
      <formula>NOT(ISERROR(SEARCH("ready",AG49)))</formula>
    </cfRule>
  </conditionalFormatting>
  <conditionalFormatting sqref="AG352:AI352">
    <cfRule type="containsText" dxfId="428" priority="758" operator="containsText" text="progress">
      <formula>NOT(ISERROR(SEARCH("progress",AG352)))</formula>
    </cfRule>
    <cfRule type="containsText" dxfId="427" priority="759" operator="containsText" text="clarification">
      <formula>NOT(ISERROR(SEARCH("clarification",AG352)))</formula>
    </cfRule>
    <cfRule type="containsText" dxfId="426" priority="760" operator="containsText" text="N/A">
      <formula>NOT(ISERROR(SEARCH("N/A",AG352)))</formula>
    </cfRule>
    <cfRule type="containsText" dxfId="425" priority="761" operator="containsText" text="done">
      <formula>NOT(ISERROR(SEARCH("done",AG352)))</formula>
    </cfRule>
    <cfRule type="containsText" dxfId="424" priority="762" operator="containsText" text="ready">
      <formula>NOT(ISERROR(SEARCH("ready",AG352)))</formula>
    </cfRule>
  </conditionalFormatting>
  <conditionalFormatting sqref="AG354:AI354">
    <cfRule type="containsText" dxfId="423" priority="743" operator="containsText" text="progress">
      <formula>NOT(ISERROR(SEARCH("progress",AG354)))</formula>
    </cfRule>
    <cfRule type="containsText" dxfId="422" priority="744" operator="containsText" text="clarification">
      <formula>NOT(ISERROR(SEARCH("clarification",AG354)))</formula>
    </cfRule>
    <cfRule type="containsText" dxfId="421" priority="745" operator="containsText" text="N/A">
      <formula>NOT(ISERROR(SEARCH("N/A",AG354)))</formula>
    </cfRule>
    <cfRule type="containsText" dxfId="420" priority="746" operator="containsText" text="done">
      <formula>NOT(ISERROR(SEARCH("done",AG354)))</formula>
    </cfRule>
    <cfRule type="containsText" dxfId="419" priority="747" operator="containsText" text="ready">
      <formula>NOT(ISERROR(SEARCH("ready",AG354)))</formula>
    </cfRule>
  </conditionalFormatting>
  <conditionalFormatting sqref="AG356:AI356">
    <cfRule type="containsText" dxfId="418" priority="763" operator="containsText" text="progress">
      <formula>NOT(ISERROR(SEARCH("progress",AG356)))</formula>
    </cfRule>
    <cfRule type="containsText" dxfId="417" priority="764" operator="containsText" text="clarification">
      <formula>NOT(ISERROR(SEARCH("clarification",AG356)))</formula>
    </cfRule>
    <cfRule type="containsText" dxfId="416" priority="765" operator="containsText" text="N/A">
      <formula>NOT(ISERROR(SEARCH("N/A",AG356)))</formula>
    </cfRule>
    <cfRule type="containsText" dxfId="415" priority="766" operator="containsText" text="done">
      <formula>NOT(ISERROR(SEARCH("done",AG356)))</formula>
    </cfRule>
    <cfRule type="containsText" dxfId="414" priority="767" operator="containsText" text="ready">
      <formula>NOT(ISERROR(SEARCH("ready",AG356)))</formula>
    </cfRule>
  </conditionalFormatting>
  <conditionalFormatting sqref="AG307:AJ309">
    <cfRule type="containsText" dxfId="413" priority="603" operator="containsText" text="progress">
      <formula>NOT(ISERROR(SEARCH("progress",AG307)))</formula>
    </cfRule>
    <cfRule type="containsText" dxfId="412" priority="604" operator="containsText" text="clarification">
      <formula>NOT(ISERROR(SEARCH("clarification",AG307)))</formula>
    </cfRule>
    <cfRule type="containsText" dxfId="411" priority="605" operator="containsText" text="N/A">
      <formula>NOT(ISERROR(SEARCH("N/A",AG307)))</formula>
    </cfRule>
    <cfRule type="containsText" dxfId="410" priority="606" operator="containsText" text="done">
      <formula>NOT(ISERROR(SEARCH("done",AG307)))</formula>
    </cfRule>
    <cfRule type="containsText" dxfId="409" priority="607" operator="containsText" text="ready">
      <formula>NOT(ISERROR(SEARCH("ready",AG307)))</formula>
    </cfRule>
  </conditionalFormatting>
  <conditionalFormatting sqref="AG330:AJ339 AG341:AJ349 AG340 AI340:AJ340">
    <cfRule type="containsText" dxfId="408" priority="503" operator="containsText" text="progress">
      <formula>NOT(ISERROR(SEARCH("progress",AG330)))</formula>
    </cfRule>
    <cfRule type="containsText" dxfId="407" priority="504" operator="containsText" text="clarification">
      <formula>NOT(ISERROR(SEARCH("clarification",AG330)))</formula>
    </cfRule>
    <cfRule type="containsText" dxfId="406" priority="505" operator="containsText" text="N/A">
      <formula>NOT(ISERROR(SEARCH("N/A",AG330)))</formula>
    </cfRule>
    <cfRule type="containsText" dxfId="405" priority="506" operator="containsText" text="done">
      <formula>NOT(ISERROR(SEARCH("done",AG330)))</formula>
    </cfRule>
    <cfRule type="containsText" dxfId="404" priority="507" operator="containsText" text="ready">
      <formula>NOT(ISERROR(SEARCH("ready",AG330)))</formula>
    </cfRule>
  </conditionalFormatting>
  <conditionalFormatting sqref="AH351:AI351">
    <cfRule type="containsText" dxfId="403" priority="753" operator="containsText" text="progress">
      <formula>NOT(ISERROR(SEARCH("progress",AH351)))</formula>
    </cfRule>
    <cfRule type="containsText" dxfId="402" priority="754" operator="containsText" text="clarification">
      <formula>NOT(ISERROR(SEARCH("clarification",AH351)))</formula>
    </cfRule>
    <cfRule type="containsText" dxfId="401" priority="755" operator="containsText" text="N/A">
      <formula>NOT(ISERROR(SEARCH("N/A",AH351)))</formula>
    </cfRule>
    <cfRule type="containsText" dxfId="400" priority="756" operator="containsText" text="done">
      <formula>NOT(ISERROR(SEARCH("done",AH351)))</formula>
    </cfRule>
    <cfRule type="containsText" dxfId="399" priority="757" operator="containsText" text="ready">
      <formula>NOT(ISERROR(SEARCH("ready",AH351)))</formula>
    </cfRule>
  </conditionalFormatting>
  <conditionalFormatting sqref="AH353:AI353">
    <cfRule type="containsText" dxfId="398" priority="598" operator="containsText" text="progress">
      <formula>NOT(ISERROR(SEARCH("progress",AH353)))</formula>
    </cfRule>
    <cfRule type="containsText" dxfId="397" priority="599" operator="containsText" text="clarification">
      <formula>NOT(ISERROR(SEARCH("clarification",AH353)))</formula>
    </cfRule>
    <cfRule type="containsText" dxfId="396" priority="600" operator="containsText" text="N/A">
      <formula>NOT(ISERROR(SEARCH("N/A",AH353)))</formula>
    </cfRule>
    <cfRule type="containsText" dxfId="395" priority="601" operator="containsText" text="done">
      <formula>NOT(ISERROR(SEARCH("done",AH353)))</formula>
    </cfRule>
    <cfRule type="containsText" dxfId="394" priority="602" operator="containsText" text="ready">
      <formula>NOT(ISERROR(SEARCH("ready",AH353)))</formula>
    </cfRule>
  </conditionalFormatting>
  <conditionalFormatting sqref="AH355:AI355">
    <cfRule type="containsText" dxfId="393" priority="748" operator="containsText" text="progress">
      <formula>NOT(ISERROR(SEARCH("progress",AH355)))</formula>
    </cfRule>
    <cfRule type="containsText" dxfId="392" priority="749" operator="containsText" text="clarification">
      <formula>NOT(ISERROR(SEARCH("clarification",AH355)))</formula>
    </cfRule>
    <cfRule type="containsText" dxfId="391" priority="750" operator="containsText" text="N/A">
      <formula>NOT(ISERROR(SEARCH("N/A",AH355)))</formula>
    </cfRule>
    <cfRule type="containsText" dxfId="390" priority="751" operator="containsText" text="done">
      <formula>NOT(ISERROR(SEARCH("done",AH355)))</formula>
    </cfRule>
    <cfRule type="containsText" dxfId="389" priority="752" operator="containsText" text="ready">
      <formula>NOT(ISERROR(SEARCH("ready",AH355)))</formula>
    </cfRule>
  </conditionalFormatting>
  <conditionalFormatting sqref="AH310:AJ329">
    <cfRule type="containsText" dxfId="388" priority="513" operator="containsText" text="progress">
      <formula>NOT(ISERROR(SEARCH("progress",AH310)))</formula>
    </cfRule>
    <cfRule type="containsText" dxfId="387" priority="514" operator="containsText" text="clarification">
      <formula>NOT(ISERROR(SEARCH("clarification",AH310)))</formula>
    </cfRule>
    <cfRule type="containsText" dxfId="386" priority="515" operator="containsText" text="N/A">
      <formula>NOT(ISERROR(SEARCH("N/A",AH310)))</formula>
    </cfRule>
    <cfRule type="containsText" dxfId="385" priority="516" operator="containsText" text="done">
      <formula>NOT(ISERROR(SEARCH("done",AH310)))</formula>
    </cfRule>
    <cfRule type="containsText" dxfId="384" priority="517" operator="containsText" text="ready">
      <formula>NOT(ISERROR(SEARCH("ready",AH310)))</formula>
    </cfRule>
  </conditionalFormatting>
  <conditionalFormatting sqref="AI3:AI6">
    <cfRule type="containsText" dxfId="383" priority="783" operator="containsText" text="progress">
      <formula>NOT(ISERROR(SEARCH("progress",AI3)))</formula>
    </cfRule>
    <cfRule type="containsText" dxfId="382" priority="784" operator="containsText" text="clarification">
      <formula>NOT(ISERROR(SEARCH("clarification",AI3)))</formula>
    </cfRule>
    <cfRule type="containsText" dxfId="381" priority="785" operator="containsText" text="N/A">
      <formula>NOT(ISERROR(SEARCH("N/A",AI3)))</formula>
    </cfRule>
    <cfRule type="containsText" dxfId="380" priority="786" operator="containsText" text="done">
      <formula>NOT(ISERROR(SEARCH("done",AI3)))</formula>
    </cfRule>
    <cfRule type="containsText" dxfId="379" priority="787" operator="containsText" text="ready">
      <formula>NOT(ISERROR(SEARCH("ready",AI3)))</formula>
    </cfRule>
  </conditionalFormatting>
  <conditionalFormatting sqref="AI8:AI17 AI18:AJ23 AJ24:AJ25 AJ27 AI36:AI64 AJ38 AG43 AI70:AJ152 AJ351:AJ356">
    <cfRule type="containsText" dxfId="378" priority="814" operator="containsText" text="clarification">
      <formula>NOT(ISERROR(SEARCH("clarification",AG8)))</formula>
    </cfRule>
    <cfRule type="containsText" dxfId="377" priority="815" operator="containsText" text="N/A">
      <formula>NOT(ISERROR(SEARCH("N/A",AG8)))</formula>
    </cfRule>
    <cfRule type="containsText" dxfId="376" priority="816" operator="containsText" text="done">
      <formula>NOT(ISERROR(SEARCH("done",AG8)))</formula>
    </cfRule>
    <cfRule type="containsText" dxfId="375" priority="817" operator="containsText" text="ready">
      <formula>NOT(ISERROR(SEARCH("ready",AG8)))</formula>
    </cfRule>
  </conditionalFormatting>
  <conditionalFormatting sqref="AI24:AI35">
    <cfRule type="containsText" dxfId="374" priority="589" operator="containsText" text="clarification">
      <formula>NOT(ISERROR(SEARCH("clarification",AI24)))</formula>
    </cfRule>
    <cfRule type="containsText" dxfId="373" priority="590" operator="containsText" text="N/A">
      <formula>NOT(ISERROR(SEARCH("N/A",AI24)))</formula>
    </cfRule>
    <cfRule type="containsText" dxfId="372" priority="591" operator="containsText" text="done">
      <formula>NOT(ISERROR(SEARCH("done",AI24)))</formula>
    </cfRule>
    <cfRule type="containsText" dxfId="371" priority="592" operator="containsText" text="ready">
      <formula>NOT(ISERROR(SEARCH("ready",AI24)))</formula>
    </cfRule>
  </conditionalFormatting>
  <conditionalFormatting sqref="AI24:AI44">
    <cfRule type="containsText" dxfId="370" priority="588" operator="containsText" text="progress">
      <formula>NOT(ISERROR(SEARCH("progress",AI24)))</formula>
    </cfRule>
  </conditionalFormatting>
  <conditionalFormatting sqref="AI42:AI64 AI70:AJ152 AI8:AI17 AI18:AJ23 AJ24:AJ25 AJ27 AI38:AJ38 AG43 AJ351:AJ356">
    <cfRule type="containsText" dxfId="369" priority="813" operator="containsText" text="progress">
      <formula>NOT(ISERROR(SEARCH("progress",AG8)))</formula>
    </cfRule>
  </conditionalFormatting>
  <conditionalFormatting sqref="AI65">
    <cfRule type="containsText" dxfId="368" priority="613" operator="containsText" text="progress">
      <formula>NOT(ISERROR(SEARCH("progress",AI65)))</formula>
    </cfRule>
    <cfRule type="containsText" dxfId="367" priority="614" operator="containsText" text="clarification">
      <formula>NOT(ISERROR(SEARCH("clarification",AI65)))</formula>
    </cfRule>
    <cfRule type="containsText" dxfId="366" priority="615" operator="containsText" text="N/A">
      <formula>NOT(ISERROR(SEARCH("N/A",AI65)))</formula>
    </cfRule>
    <cfRule type="containsText" dxfId="365" priority="616" operator="containsText" text="done">
      <formula>NOT(ISERROR(SEARCH("done",AI65)))</formula>
    </cfRule>
    <cfRule type="containsText" dxfId="364" priority="617" operator="containsText" text="ready">
      <formula>NOT(ISERROR(SEARCH("ready",AI65)))</formula>
    </cfRule>
    <cfRule type="containsText" dxfId="363" priority="618" operator="containsText" text="progress">
      <formula>NOT(ISERROR(SEARCH("progress",AI65)))</formula>
    </cfRule>
    <cfRule type="containsText" dxfId="362" priority="619" operator="containsText" text="clarification">
      <formula>NOT(ISERROR(SEARCH("clarification",AI65)))</formula>
    </cfRule>
    <cfRule type="containsText" dxfId="361" priority="620" operator="containsText" text="N/A">
      <formula>NOT(ISERROR(SEARCH("N/A",AI65)))</formula>
    </cfRule>
    <cfRule type="containsText" dxfId="360" priority="621" operator="containsText" text="done">
      <formula>NOT(ISERROR(SEARCH("done",AI65)))</formula>
    </cfRule>
    <cfRule type="containsText" dxfId="359" priority="622" operator="containsText" text="ready">
      <formula>NOT(ISERROR(SEARCH("ready",AI65)))</formula>
    </cfRule>
  </conditionalFormatting>
  <conditionalFormatting sqref="AI66">
    <cfRule type="containsText" dxfId="358" priority="778" operator="containsText" text="progress">
      <formula>NOT(ISERROR(SEARCH("progress",AI66)))</formula>
    </cfRule>
    <cfRule type="containsText" dxfId="357" priority="779" operator="containsText" text="clarification">
      <formula>NOT(ISERROR(SEARCH("clarification",AI66)))</formula>
    </cfRule>
    <cfRule type="containsText" dxfId="356" priority="780" operator="containsText" text="N/A">
      <formula>NOT(ISERROR(SEARCH("N/A",AI66)))</formula>
    </cfRule>
    <cfRule type="containsText" dxfId="355" priority="781" operator="containsText" text="done">
      <formula>NOT(ISERROR(SEARCH("done",AI66)))</formula>
    </cfRule>
    <cfRule type="containsText" dxfId="354" priority="782" operator="containsText" text="ready">
      <formula>NOT(ISERROR(SEARCH("ready",AI66)))</formula>
    </cfRule>
  </conditionalFormatting>
  <conditionalFormatting sqref="AI66:AI68">
    <cfRule type="containsText" dxfId="353" priority="628" operator="containsText" text="progress">
      <formula>NOT(ISERROR(SEARCH("progress",AI66)))</formula>
    </cfRule>
    <cfRule type="containsText" dxfId="352" priority="629" operator="containsText" text="clarification">
      <formula>NOT(ISERROR(SEARCH("clarification",AI66)))</formula>
    </cfRule>
    <cfRule type="containsText" dxfId="351" priority="630" operator="containsText" text="N/A">
      <formula>NOT(ISERROR(SEARCH("N/A",AI66)))</formula>
    </cfRule>
    <cfRule type="containsText" dxfId="350" priority="631" operator="containsText" text="done">
      <formula>NOT(ISERROR(SEARCH("done",AI66)))</formula>
    </cfRule>
    <cfRule type="containsText" dxfId="349" priority="632" operator="containsText" text="ready">
      <formula>NOT(ISERROR(SEARCH("ready",AI66)))</formula>
    </cfRule>
  </conditionalFormatting>
  <conditionalFormatting sqref="AI67">
    <cfRule type="containsText" dxfId="348" priority="623" operator="containsText" text="progress">
      <formula>NOT(ISERROR(SEARCH("progress",AI67)))</formula>
    </cfRule>
    <cfRule type="containsText" dxfId="347" priority="624" operator="containsText" text="clarification">
      <formula>NOT(ISERROR(SEARCH("clarification",AI67)))</formula>
    </cfRule>
    <cfRule type="containsText" dxfId="346" priority="625" operator="containsText" text="N/A">
      <formula>NOT(ISERROR(SEARCH("N/A",AI67)))</formula>
    </cfRule>
    <cfRule type="containsText" dxfId="345" priority="626" operator="containsText" text="done">
      <formula>NOT(ISERROR(SEARCH("done",AI67)))</formula>
    </cfRule>
    <cfRule type="containsText" dxfId="344" priority="627" operator="containsText" text="ready">
      <formula>NOT(ISERROR(SEARCH("ready",AI67)))</formula>
    </cfRule>
  </conditionalFormatting>
  <conditionalFormatting sqref="AI68">
    <cfRule type="containsText" dxfId="343" priority="633" operator="containsText" text="progress">
      <formula>NOT(ISERROR(SEARCH("progress",AI68)))</formula>
    </cfRule>
    <cfRule type="containsText" dxfId="342" priority="634" operator="containsText" text="clarification">
      <formula>NOT(ISERROR(SEARCH("clarification",AI68)))</formula>
    </cfRule>
    <cfRule type="containsText" dxfId="341" priority="635" operator="containsText" text="N/A">
      <formula>NOT(ISERROR(SEARCH("N/A",AI68)))</formula>
    </cfRule>
    <cfRule type="containsText" dxfId="340" priority="636" operator="containsText" text="done">
      <formula>NOT(ISERROR(SEARCH("done",AI68)))</formula>
    </cfRule>
    <cfRule type="containsText" dxfId="339" priority="637" operator="containsText" text="ready">
      <formula>NOT(ISERROR(SEARCH("ready",AI68)))</formula>
    </cfRule>
  </conditionalFormatting>
  <conditionalFormatting sqref="AI70:AI153">
    <cfRule type="containsText" dxfId="338" priority="583" operator="containsText" text="progress">
      <formula>NOT(ISERROR(SEARCH("progress",AI70)))</formula>
    </cfRule>
    <cfRule type="containsText" dxfId="337" priority="584" operator="containsText" text="clarification">
      <formula>NOT(ISERROR(SEARCH("clarification",AI70)))</formula>
    </cfRule>
    <cfRule type="containsText" dxfId="336" priority="585" operator="containsText" text="N/A">
      <formula>NOT(ISERROR(SEARCH("N/A",AI70)))</formula>
    </cfRule>
    <cfRule type="containsText" dxfId="335" priority="586" operator="containsText" text="done">
      <formula>NOT(ISERROR(SEARCH("done",AI70)))</formula>
    </cfRule>
    <cfRule type="containsText" dxfId="334" priority="587" operator="containsText" text="ready">
      <formula>NOT(ISERROR(SEARCH("ready",AI70)))</formula>
    </cfRule>
  </conditionalFormatting>
  <conditionalFormatting sqref="AI358:AI362">
    <cfRule type="containsText" dxfId="333" priority="593" operator="containsText" text="progress">
      <formula>NOT(ISERROR(SEARCH("progress",AI358)))</formula>
    </cfRule>
    <cfRule type="containsText" dxfId="332" priority="594" operator="containsText" text="clarification">
      <formula>NOT(ISERROR(SEARCH("clarification",AI358)))</formula>
    </cfRule>
    <cfRule type="containsText" dxfId="331" priority="595" operator="containsText" text="N/A">
      <formula>NOT(ISERROR(SEARCH("N/A",AI358)))</formula>
    </cfRule>
    <cfRule type="containsText" dxfId="330" priority="596" operator="containsText" text="done">
      <formula>NOT(ISERROR(SEARCH("done",AI358)))</formula>
    </cfRule>
    <cfRule type="containsText" dxfId="329" priority="597" operator="containsText" text="ready">
      <formula>NOT(ISERROR(SEARCH("ready",AI358)))</formula>
    </cfRule>
  </conditionalFormatting>
  <conditionalFormatting sqref="AI163:AJ306">
    <cfRule type="containsText" dxfId="328" priority="608" operator="containsText" text="progress">
      <formula>NOT(ISERROR(SEARCH("progress",AI163)))</formula>
    </cfRule>
    <cfRule type="containsText" dxfId="327" priority="609" operator="containsText" text="clarification">
      <formula>NOT(ISERROR(SEARCH("clarification",AI163)))</formula>
    </cfRule>
    <cfRule type="containsText" dxfId="326" priority="610" operator="containsText" text="N/A">
      <formula>NOT(ISERROR(SEARCH("N/A",AI163)))</formula>
    </cfRule>
    <cfRule type="containsText" dxfId="325" priority="611" operator="containsText" text="done">
      <formula>NOT(ISERROR(SEARCH("done",AI163)))</formula>
    </cfRule>
    <cfRule type="containsText" dxfId="324" priority="612" operator="containsText" text="ready">
      <formula>NOT(ISERROR(SEARCH("ready",AI163)))</formula>
    </cfRule>
  </conditionalFormatting>
  <conditionalFormatting sqref="AJ8">
    <cfRule type="cellIs" dxfId="323" priority="818" operator="notBetween">
      <formula>$D8</formula>
      <formula>-$D8</formula>
    </cfRule>
    <cfRule type="cellIs" dxfId="322" priority="819" operator="between">
      <formula>$D8</formula>
      <formula>-$D8</formula>
    </cfRule>
  </conditionalFormatting>
  <conditionalFormatting sqref="AJ39:AJ44 AI42:AI44 AI45:AJ64 AJ65:AJ68">
    <cfRule type="containsText" dxfId="321" priority="810" operator="containsText" text="N/A">
      <formula>NOT(ISERROR(SEARCH("N/A",AI39)))</formula>
    </cfRule>
    <cfRule type="containsText" dxfId="320" priority="811" operator="containsText" text="done">
      <formula>NOT(ISERROR(SEARCH("done",AI39)))</formula>
    </cfRule>
    <cfRule type="containsText" dxfId="319" priority="812" operator="containsText" text="ready">
      <formula>NOT(ISERROR(SEARCH("ready",AI39)))</formula>
    </cfRule>
  </conditionalFormatting>
  <conditionalFormatting sqref="AJ39:AJ44 AI45:AJ64 AJ65:AJ68 AI42:AI44">
    <cfRule type="containsText" dxfId="318" priority="809" operator="containsText" text="clarification">
      <formula>NOT(ISERROR(SEARCH("clarification",AI39)))</formula>
    </cfRule>
  </conditionalFormatting>
  <conditionalFormatting sqref="AJ39:AJ44 AI45:AJ64 AJ65:AJ68">
    <cfRule type="containsText" dxfId="317" priority="808" operator="containsText" text="progress">
      <formula>NOT(ISERROR(SEARCH("progress",AI39)))</formula>
    </cfRule>
  </conditionalFormatting>
  <conditionalFormatting sqref="AJ153">
    <cfRule type="containsText" dxfId="316" priority="713" operator="containsText" text="progress">
      <formula>NOT(ISERROR(SEARCH("progress",AJ153)))</formula>
    </cfRule>
    <cfRule type="containsText" dxfId="315" priority="714" operator="containsText" text="clarification">
      <formula>NOT(ISERROR(SEARCH("clarification",AJ153)))</formula>
    </cfRule>
    <cfRule type="containsText" dxfId="314" priority="715" operator="containsText" text="N/A">
      <formula>NOT(ISERROR(SEARCH("N/A",AJ153)))</formula>
    </cfRule>
    <cfRule type="containsText" dxfId="313" priority="716" operator="containsText" text="done">
      <formula>NOT(ISERROR(SEARCH("done",AJ153)))</formula>
    </cfRule>
    <cfRule type="containsText" dxfId="312" priority="717" operator="containsText" text="ready">
      <formula>NOT(ISERROR(SEARCH("ready",AJ153)))</formula>
    </cfRule>
  </conditionalFormatting>
  <conditionalFormatting sqref="AL25:AL27">
    <cfRule type="containsText" dxfId="311" priority="416" operator="containsText" text="progress">
      <formula>NOT(ISERROR(SEARCH("progress",AL25)))</formula>
    </cfRule>
    <cfRule type="containsText" dxfId="310" priority="417" operator="containsText" text="clarification">
      <formula>NOT(ISERROR(SEARCH("clarification",AL25)))</formula>
    </cfRule>
    <cfRule type="containsText" dxfId="309" priority="418" operator="containsText" text="N/A">
      <formula>NOT(ISERROR(SEARCH("N/A",AL25)))</formula>
    </cfRule>
    <cfRule type="containsText" dxfId="308" priority="419" operator="containsText" text="done">
      <formula>NOT(ISERROR(SEARCH("done",AL25)))</formula>
    </cfRule>
    <cfRule type="containsText" dxfId="307" priority="420" operator="containsText" text="ready">
      <formula>NOT(ISERROR(SEARCH("ready",AL25)))</formula>
    </cfRule>
  </conditionalFormatting>
  <conditionalFormatting sqref="AL36:AL38">
    <cfRule type="containsText" dxfId="306" priority="411" operator="containsText" text="progress">
      <formula>NOT(ISERROR(SEARCH("progress",AL36)))</formula>
    </cfRule>
    <cfRule type="containsText" dxfId="305" priority="412" operator="containsText" text="clarification">
      <formula>NOT(ISERROR(SEARCH("clarification",AL36)))</formula>
    </cfRule>
    <cfRule type="containsText" dxfId="304" priority="413" operator="containsText" text="N/A">
      <formula>NOT(ISERROR(SEARCH("N/A",AL36)))</formula>
    </cfRule>
    <cfRule type="containsText" dxfId="303" priority="414" operator="containsText" text="done">
      <formula>NOT(ISERROR(SEARCH("done",AL36)))</formula>
    </cfRule>
    <cfRule type="containsText" dxfId="302" priority="415" operator="containsText" text="ready">
      <formula>NOT(ISERROR(SEARCH("ready",AL36)))</formula>
    </cfRule>
  </conditionalFormatting>
  <conditionalFormatting sqref="AL42:AL44">
    <cfRule type="containsText" dxfId="301" priority="406" operator="containsText" text="progress">
      <formula>NOT(ISERROR(SEARCH("progress",AL42)))</formula>
    </cfRule>
    <cfRule type="containsText" dxfId="300" priority="407" operator="containsText" text="clarification">
      <formula>NOT(ISERROR(SEARCH("clarification",AL42)))</formula>
    </cfRule>
    <cfRule type="containsText" dxfId="299" priority="408" operator="containsText" text="N/A">
      <formula>NOT(ISERROR(SEARCH("N/A",AL42)))</formula>
    </cfRule>
    <cfRule type="containsText" dxfId="298" priority="409" operator="containsText" text="done">
      <formula>NOT(ISERROR(SEARCH("done",AL42)))</formula>
    </cfRule>
    <cfRule type="containsText" dxfId="297" priority="410" operator="containsText" text="ready">
      <formula>NOT(ISERROR(SEARCH("ready",AL42)))</formula>
    </cfRule>
  </conditionalFormatting>
  <conditionalFormatting sqref="AL72">
    <cfRule type="containsText" dxfId="296" priority="256" operator="containsText" text="progress">
      <formula>NOT(ISERROR(SEARCH("progress",AL72)))</formula>
    </cfRule>
    <cfRule type="containsText" dxfId="295" priority="257" operator="containsText" text="clarification">
      <formula>NOT(ISERROR(SEARCH("clarification",AL72)))</formula>
    </cfRule>
    <cfRule type="containsText" dxfId="294" priority="258" operator="containsText" text="N/A">
      <formula>NOT(ISERROR(SEARCH("N/A",AL72)))</formula>
    </cfRule>
    <cfRule type="containsText" dxfId="293" priority="259" operator="containsText" text="done">
      <formula>NOT(ISERROR(SEARCH("done",AL72)))</formula>
    </cfRule>
    <cfRule type="containsText" dxfId="292" priority="260" operator="containsText" text="ready">
      <formula>NOT(ISERROR(SEARCH("ready",AL72)))</formula>
    </cfRule>
  </conditionalFormatting>
  <conditionalFormatting sqref="AL72:AL88">
    <cfRule type="containsText" dxfId="291" priority="251" operator="containsText" text="progress">
      <formula>NOT(ISERROR(SEARCH("progress",AL72)))</formula>
    </cfRule>
    <cfRule type="containsText" dxfId="290" priority="252" operator="containsText" text="clarification">
      <formula>NOT(ISERROR(SEARCH("clarification",AL72)))</formula>
    </cfRule>
    <cfRule type="containsText" dxfId="289" priority="253" operator="containsText" text="N/A">
      <formula>NOT(ISERROR(SEARCH("N/A",AL72)))</formula>
    </cfRule>
    <cfRule type="containsText" dxfId="288" priority="254" operator="containsText" text="done">
      <formula>NOT(ISERROR(SEARCH("done",AL72)))</formula>
    </cfRule>
    <cfRule type="containsText" dxfId="287" priority="255" operator="containsText" text="ready">
      <formula>NOT(ISERROR(SEARCH("ready",AL72)))</formula>
    </cfRule>
  </conditionalFormatting>
  <conditionalFormatting sqref="AL73">
    <cfRule type="containsText" dxfId="286" priority="246" operator="containsText" text="progress">
      <formula>NOT(ISERROR(SEARCH("progress",AL73)))</formula>
    </cfRule>
    <cfRule type="containsText" dxfId="285" priority="247" operator="containsText" text="clarification">
      <formula>NOT(ISERROR(SEARCH("clarification",AL73)))</formula>
    </cfRule>
    <cfRule type="containsText" dxfId="284" priority="248" operator="containsText" text="N/A">
      <formula>NOT(ISERROR(SEARCH("N/A",AL73)))</formula>
    </cfRule>
    <cfRule type="containsText" dxfId="283" priority="249" operator="containsText" text="done">
      <formula>NOT(ISERROR(SEARCH("done",AL73)))</formula>
    </cfRule>
    <cfRule type="containsText" dxfId="282" priority="250" operator="containsText" text="ready">
      <formula>NOT(ISERROR(SEARCH("ready",AL73)))</formula>
    </cfRule>
  </conditionalFormatting>
  <conditionalFormatting sqref="AL74:AL77">
    <cfRule type="containsText" dxfId="281" priority="451" operator="containsText" text="progress">
      <formula>NOT(ISERROR(SEARCH("progress",AL74)))</formula>
    </cfRule>
    <cfRule type="containsText" dxfId="280" priority="452" operator="containsText" text="clarification">
      <formula>NOT(ISERROR(SEARCH("clarification",AL74)))</formula>
    </cfRule>
    <cfRule type="containsText" dxfId="279" priority="453" operator="containsText" text="N/A">
      <formula>NOT(ISERROR(SEARCH("N/A",AL74)))</formula>
    </cfRule>
    <cfRule type="containsText" dxfId="278" priority="454" operator="containsText" text="done">
      <formula>NOT(ISERROR(SEARCH("done",AL74)))</formula>
    </cfRule>
    <cfRule type="containsText" dxfId="277" priority="455" operator="containsText" text="ready">
      <formula>NOT(ISERROR(SEARCH("ready",AL74)))</formula>
    </cfRule>
  </conditionalFormatting>
  <conditionalFormatting sqref="AL236 AQ350:AR350">
    <cfRule type="containsText" dxfId="276" priority="498" operator="containsText" text="progress">
      <formula>NOT(ISERROR(SEARCH("progress",AL236)))</formula>
    </cfRule>
    <cfRule type="containsText" dxfId="275" priority="499" operator="containsText" text="clarification">
      <formula>NOT(ISERROR(SEARCH("clarification",AL236)))</formula>
    </cfRule>
    <cfRule type="containsText" dxfId="274" priority="500" operator="containsText" text="N/A">
      <formula>NOT(ISERROR(SEARCH("N/A",AL236)))</formula>
    </cfRule>
    <cfRule type="containsText" dxfId="273" priority="501" operator="containsText" text="done">
      <formula>NOT(ISERROR(SEARCH("done",AL236)))</formula>
    </cfRule>
    <cfRule type="containsText" dxfId="272" priority="502" operator="containsText" text="ready">
      <formula>NOT(ISERROR(SEARCH("ready",AL236)))</formula>
    </cfRule>
  </conditionalFormatting>
  <conditionalFormatting sqref="AL11:AM11 AO14">
    <cfRule type="containsText" dxfId="271" priority="476" operator="containsText" text="progress">
      <formula>NOT(ISERROR(SEARCH("progress",AL11)))</formula>
    </cfRule>
    <cfRule type="containsText" dxfId="270" priority="477" operator="containsText" text="clarification">
      <formula>NOT(ISERROR(SEARCH("clarification",AL11)))</formula>
    </cfRule>
    <cfRule type="containsText" dxfId="269" priority="478" operator="containsText" text="N/A">
      <formula>NOT(ISERROR(SEARCH("N/A",AL11)))</formula>
    </cfRule>
    <cfRule type="containsText" dxfId="268" priority="479" operator="containsText" text="done">
      <formula>NOT(ISERROR(SEARCH("done",AL11)))</formula>
    </cfRule>
    <cfRule type="containsText" dxfId="267" priority="480" operator="containsText" text="ready">
      <formula>NOT(ISERROR(SEARCH("ready",AL11)))</formula>
    </cfRule>
  </conditionalFormatting>
  <conditionalFormatting sqref="AL13:AM15">
    <cfRule type="containsText" dxfId="266" priority="421" operator="containsText" text="progress">
      <formula>NOT(ISERROR(SEARCH("progress",AL13)))</formula>
    </cfRule>
    <cfRule type="containsText" dxfId="265" priority="422" operator="containsText" text="clarification">
      <formula>NOT(ISERROR(SEARCH("clarification",AL13)))</formula>
    </cfRule>
    <cfRule type="containsText" dxfId="264" priority="423" operator="containsText" text="N/A">
      <formula>NOT(ISERROR(SEARCH("N/A",AL13)))</formula>
    </cfRule>
    <cfRule type="containsText" dxfId="263" priority="424" operator="containsText" text="done">
      <formula>NOT(ISERROR(SEARCH("done",AL13)))</formula>
    </cfRule>
    <cfRule type="containsText" dxfId="262" priority="425" operator="containsText" text="ready">
      <formula>NOT(ISERROR(SEARCH("ready",AL13)))</formula>
    </cfRule>
  </conditionalFormatting>
  <conditionalFormatting sqref="AL70:AM71">
    <cfRule type="containsText" dxfId="261" priority="261" operator="containsText" text="progress">
      <formula>NOT(ISERROR(SEARCH("progress",AL70)))</formula>
    </cfRule>
    <cfRule type="containsText" dxfId="260" priority="262" operator="containsText" text="clarification">
      <formula>NOT(ISERROR(SEARCH("clarification",AL70)))</formula>
    </cfRule>
    <cfRule type="containsText" dxfId="259" priority="263" operator="containsText" text="N/A">
      <formula>NOT(ISERROR(SEARCH("N/A",AL70)))</formula>
    </cfRule>
    <cfRule type="containsText" dxfId="258" priority="264" operator="containsText" text="done">
      <formula>NOT(ISERROR(SEARCH("done",AL70)))</formula>
    </cfRule>
    <cfRule type="containsText" dxfId="257" priority="265" operator="containsText" text="ready">
      <formula>NOT(ISERROR(SEARCH("ready",AL70)))</formula>
    </cfRule>
  </conditionalFormatting>
  <conditionalFormatting sqref="AL89:AM242">
    <cfRule type="containsText" dxfId="256" priority="126" operator="containsText" text="progress">
      <formula>NOT(ISERROR(SEARCH("progress",AL89)))</formula>
    </cfRule>
    <cfRule type="containsText" dxfId="255" priority="127" operator="containsText" text="clarification">
      <formula>NOT(ISERROR(SEARCH("clarification",AL89)))</formula>
    </cfRule>
    <cfRule type="containsText" dxfId="254" priority="128" operator="containsText" text="N/A">
      <formula>NOT(ISERROR(SEARCH("N/A",AL89)))</formula>
    </cfRule>
    <cfRule type="containsText" dxfId="253" priority="129" operator="containsText" text="done">
      <formula>NOT(ISERROR(SEARCH("done",AL89)))</formula>
    </cfRule>
    <cfRule type="containsText" dxfId="252" priority="130" operator="containsText" text="ready">
      <formula>NOT(ISERROR(SEARCH("ready",AL89)))</formula>
    </cfRule>
  </conditionalFormatting>
  <conditionalFormatting sqref="AL237:AM325 AM326:AM329">
    <cfRule type="containsText" dxfId="251" priority="236" operator="containsText" text="progress">
      <formula>NOT(ISERROR(SEARCH("progress",AL237)))</formula>
    </cfRule>
    <cfRule type="containsText" dxfId="250" priority="237" operator="containsText" text="clarification">
      <formula>NOT(ISERROR(SEARCH("clarification",AL237)))</formula>
    </cfRule>
    <cfRule type="containsText" dxfId="249" priority="238" operator="containsText" text="N/A">
      <formula>NOT(ISERROR(SEARCH("N/A",AL237)))</formula>
    </cfRule>
    <cfRule type="containsText" dxfId="248" priority="239" operator="containsText" text="done">
      <formula>NOT(ISERROR(SEARCH("done",AL237)))</formula>
    </cfRule>
    <cfRule type="containsText" dxfId="247" priority="240" operator="containsText" text="ready">
      <formula>NOT(ISERROR(SEARCH("ready",AL237)))</formula>
    </cfRule>
  </conditionalFormatting>
  <conditionalFormatting sqref="AL47:AN50">
    <cfRule type="containsText" dxfId="246" priority="371" operator="containsText" text="progress">
      <formula>NOT(ISERROR(SEARCH("progress",AL47)))</formula>
    </cfRule>
    <cfRule type="containsText" dxfId="245" priority="372" operator="containsText" text="clarification">
      <formula>NOT(ISERROR(SEARCH("clarification",AL47)))</formula>
    </cfRule>
    <cfRule type="containsText" dxfId="244" priority="373" operator="containsText" text="N/A">
      <formula>NOT(ISERROR(SEARCH("N/A",AL47)))</formula>
    </cfRule>
    <cfRule type="containsText" dxfId="243" priority="374" operator="containsText" text="done">
      <formula>NOT(ISERROR(SEARCH("done",AL47)))</formula>
    </cfRule>
    <cfRule type="containsText" dxfId="242" priority="375" operator="containsText" text="ready">
      <formula>NOT(ISERROR(SEARCH("ready",AL47)))</formula>
    </cfRule>
  </conditionalFormatting>
  <conditionalFormatting sqref="AL70:AN71">
    <cfRule type="containsText" dxfId="241" priority="266" operator="containsText" text="progress">
      <formula>NOT(ISERROR(SEARCH("progress",AL70)))</formula>
    </cfRule>
    <cfRule type="containsText" dxfId="240" priority="267" operator="containsText" text="clarification">
      <formula>NOT(ISERROR(SEARCH("clarification",AL70)))</formula>
    </cfRule>
    <cfRule type="containsText" dxfId="239" priority="268" operator="containsText" text="N/A">
      <formula>NOT(ISERROR(SEARCH("N/A",AL70)))</formula>
    </cfRule>
    <cfRule type="containsText" dxfId="238" priority="269" operator="containsText" text="done">
      <formula>NOT(ISERROR(SEARCH("done",AL70)))</formula>
    </cfRule>
    <cfRule type="containsText" dxfId="237" priority="270" operator="containsText" text="ready">
      <formula>NOT(ISERROR(SEARCH("ready",AL70)))</formula>
    </cfRule>
  </conditionalFormatting>
  <conditionalFormatting sqref="AL7:AR7 AL30:AN30 AL69:AR69 AN70:AN71 AM72:AN74">
    <cfRule type="containsText" dxfId="236" priority="387" operator="containsText" text="clarification">
      <formula>NOT(ISERROR(SEARCH("clarification",AL7)))</formula>
    </cfRule>
    <cfRule type="containsText" dxfId="235" priority="388" operator="containsText" text="N/A">
      <formula>NOT(ISERROR(SEARCH("N/A",AL7)))</formula>
    </cfRule>
    <cfRule type="containsText" dxfId="234" priority="389" operator="containsText" text="done">
      <formula>NOT(ISERROR(SEARCH("done",AL7)))</formula>
    </cfRule>
    <cfRule type="containsText" dxfId="233" priority="390" operator="containsText" text="ready">
      <formula>NOT(ISERROR(SEARCH("ready",AL7)))</formula>
    </cfRule>
  </conditionalFormatting>
  <conditionalFormatting sqref="AM12">
    <cfRule type="containsText" dxfId="232" priority="326" operator="containsText" text="progress">
      <formula>NOT(ISERROR(SEARCH("progress",AM12)))</formula>
    </cfRule>
    <cfRule type="containsText" dxfId="231" priority="327" operator="containsText" text="clarification">
      <formula>NOT(ISERROR(SEARCH("clarification",AM12)))</formula>
    </cfRule>
    <cfRule type="containsText" dxfId="230" priority="328" operator="containsText" text="N/A">
      <formula>NOT(ISERROR(SEARCH("N/A",AM12)))</formula>
    </cfRule>
    <cfRule type="containsText" dxfId="229" priority="329" operator="containsText" text="done">
      <formula>NOT(ISERROR(SEARCH("done",AM12)))</formula>
    </cfRule>
    <cfRule type="containsText" dxfId="228" priority="330" operator="containsText" text="ready">
      <formula>NOT(ISERROR(SEARCH("ready",AM12)))</formula>
    </cfRule>
  </conditionalFormatting>
  <conditionalFormatting sqref="AM24:AN27">
    <cfRule type="containsText" dxfId="227" priority="356" operator="containsText" text="progress">
      <formula>NOT(ISERROR(SEARCH("progress",AM24)))</formula>
    </cfRule>
    <cfRule type="containsText" dxfId="226" priority="357" operator="containsText" text="clarification">
      <formula>NOT(ISERROR(SEARCH("clarification",AM24)))</formula>
    </cfRule>
    <cfRule type="containsText" dxfId="225" priority="358" operator="containsText" text="N/A">
      <formula>NOT(ISERROR(SEARCH("N/A",AM24)))</formula>
    </cfRule>
    <cfRule type="containsText" dxfId="224" priority="359" operator="containsText" text="done">
      <formula>NOT(ISERROR(SEARCH("done",AM24)))</formula>
    </cfRule>
    <cfRule type="containsText" dxfId="223" priority="360" operator="containsText" text="ready">
      <formula>NOT(ISERROR(SEARCH("ready",AM24)))</formula>
    </cfRule>
  </conditionalFormatting>
  <conditionalFormatting sqref="AM35:AN38">
    <cfRule type="containsText" dxfId="222" priority="351" operator="containsText" text="progress">
      <formula>NOT(ISERROR(SEARCH("progress",AM35)))</formula>
    </cfRule>
    <cfRule type="containsText" dxfId="221" priority="352" operator="containsText" text="clarification">
      <formula>NOT(ISERROR(SEARCH("clarification",AM35)))</formula>
    </cfRule>
    <cfRule type="containsText" dxfId="220" priority="353" operator="containsText" text="N/A">
      <formula>NOT(ISERROR(SEARCH("N/A",AM35)))</formula>
    </cfRule>
    <cfRule type="containsText" dxfId="219" priority="354" operator="containsText" text="done">
      <formula>NOT(ISERROR(SEARCH("done",AM35)))</formula>
    </cfRule>
    <cfRule type="containsText" dxfId="218" priority="355" operator="containsText" text="ready">
      <formula>NOT(ISERROR(SEARCH("ready",AM35)))</formula>
    </cfRule>
  </conditionalFormatting>
  <conditionalFormatting sqref="AM41:AN44">
    <cfRule type="containsText" dxfId="217" priority="346" operator="containsText" text="progress">
      <formula>NOT(ISERROR(SEARCH("progress",AM41)))</formula>
    </cfRule>
    <cfRule type="containsText" dxfId="216" priority="347" operator="containsText" text="clarification">
      <formula>NOT(ISERROR(SEARCH("clarification",AM41)))</formula>
    </cfRule>
    <cfRule type="containsText" dxfId="215" priority="348" operator="containsText" text="N/A">
      <formula>NOT(ISERROR(SEARCH("N/A",AM41)))</formula>
    </cfRule>
    <cfRule type="containsText" dxfId="214" priority="349" operator="containsText" text="done">
      <formula>NOT(ISERROR(SEARCH("done",AM41)))</formula>
    </cfRule>
    <cfRule type="containsText" dxfId="213" priority="350" operator="containsText" text="ready">
      <formula>NOT(ISERROR(SEARCH("ready",AM41)))</formula>
    </cfRule>
  </conditionalFormatting>
  <conditionalFormatting sqref="AM72:AN74 AN70:AN71 AL7:AR7 AL30:AN30 AL69:AR69">
    <cfRule type="containsText" dxfId="212" priority="386" operator="containsText" text="progress">
      <formula>NOT(ISERROR(SEARCH("progress",AL7)))</formula>
    </cfRule>
  </conditionalFormatting>
  <conditionalFormatting sqref="AM72:AN88">
    <cfRule type="containsText" dxfId="211" priority="381" operator="containsText" text="progress">
      <formula>NOT(ISERROR(SEARCH("progress",AM72)))</formula>
    </cfRule>
    <cfRule type="containsText" dxfId="210" priority="382" operator="containsText" text="clarification">
      <formula>NOT(ISERROR(SEARCH("clarification",AM72)))</formula>
    </cfRule>
    <cfRule type="containsText" dxfId="209" priority="383" operator="containsText" text="N/A">
      <formula>NOT(ISERROR(SEARCH("N/A",AM72)))</formula>
    </cfRule>
    <cfRule type="containsText" dxfId="208" priority="384" operator="containsText" text="done">
      <formula>NOT(ISERROR(SEARCH("done",AM72)))</formula>
    </cfRule>
    <cfRule type="containsText" dxfId="207" priority="385" operator="containsText" text="ready">
      <formula>NOT(ISERROR(SEARCH("ready",AM72)))</formula>
    </cfRule>
  </conditionalFormatting>
  <conditionalFormatting sqref="AM76:AN77">
    <cfRule type="containsText" dxfId="206" priority="366" operator="containsText" text="progress">
      <formula>NOT(ISERROR(SEARCH("progress",AM76)))</formula>
    </cfRule>
    <cfRule type="containsText" dxfId="205" priority="367" operator="containsText" text="clarification">
      <formula>NOT(ISERROR(SEARCH("clarification",AM76)))</formula>
    </cfRule>
    <cfRule type="containsText" dxfId="204" priority="368" operator="containsText" text="N/A">
      <formula>NOT(ISERROR(SEARCH("N/A",AM76)))</formula>
    </cfRule>
    <cfRule type="containsText" dxfId="203" priority="369" operator="containsText" text="done">
      <formula>NOT(ISERROR(SEARCH("done",AM76)))</formula>
    </cfRule>
    <cfRule type="containsText" dxfId="202" priority="370" operator="containsText" text="ready">
      <formula>NOT(ISERROR(SEARCH("ready",AM76)))</formula>
    </cfRule>
  </conditionalFormatting>
  <conditionalFormatting sqref="AN11:AN15">
    <cfRule type="containsText" dxfId="201" priority="376" operator="containsText" text="progress">
      <formula>NOT(ISERROR(SEARCH("progress",AN11)))</formula>
    </cfRule>
    <cfRule type="containsText" dxfId="200" priority="377" operator="containsText" text="clarification">
      <formula>NOT(ISERROR(SEARCH("clarification",AN11)))</formula>
    </cfRule>
    <cfRule type="containsText" dxfId="199" priority="378" operator="containsText" text="N/A">
      <formula>NOT(ISERROR(SEARCH("N/A",AN11)))</formula>
    </cfRule>
    <cfRule type="containsText" dxfId="198" priority="379" operator="containsText" text="done">
      <formula>NOT(ISERROR(SEARCH("done",AN11)))</formula>
    </cfRule>
    <cfRule type="containsText" dxfId="197" priority="380" operator="containsText" text="ready">
      <formula>NOT(ISERROR(SEARCH("ready",AN11)))</formula>
    </cfRule>
  </conditionalFormatting>
  <conditionalFormatting sqref="AN89:AN153">
    <cfRule type="containsText" dxfId="196" priority="361" operator="containsText" text="progress">
      <formula>NOT(ISERROR(SEARCH("progress",AN89)))</formula>
    </cfRule>
    <cfRule type="containsText" dxfId="195" priority="362" operator="containsText" text="clarification">
      <formula>NOT(ISERROR(SEARCH("clarification",AN89)))</formula>
    </cfRule>
    <cfRule type="containsText" dxfId="194" priority="363" operator="containsText" text="N/A">
      <formula>NOT(ISERROR(SEARCH("N/A",AN89)))</formula>
    </cfRule>
    <cfRule type="containsText" dxfId="193" priority="364" operator="containsText" text="done">
      <formula>NOT(ISERROR(SEARCH("done",AN89)))</formula>
    </cfRule>
    <cfRule type="containsText" dxfId="192" priority="365" operator="containsText" text="ready">
      <formula>NOT(ISERROR(SEARCH("ready",AN89)))</formula>
    </cfRule>
  </conditionalFormatting>
  <conditionalFormatting sqref="AN163:AN228">
    <cfRule type="containsText" dxfId="191" priority="131" operator="containsText" text="progress">
      <formula>NOT(ISERROR(SEARCH("progress",AN163)))</formula>
    </cfRule>
    <cfRule type="containsText" dxfId="190" priority="132" operator="containsText" text="clarification">
      <formula>NOT(ISERROR(SEARCH("clarification",AN163)))</formula>
    </cfRule>
    <cfRule type="containsText" dxfId="189" priority="133" operator="containsText" text="N/A">
      <formula>NOT(ISERROR(SEARCH("N/A",AN163)))</formula>
    </cfRule>
    <cfRule type="containsText" dxfId="188" priority="134" operator="containsText" text="done">
      <formula>NOT(ISERROR(SEARCH("done",AN163)))</formula>
    </cfRule>
    <cfRule type="containsText" dxfId="187" priority="135" operator="containsText" text="ready">
      <formula>NOT(ISERROR(SEARCH("ready",AN163)))</formula>
    </cfRule>
  </conditionalFormatting>
  <conditionalFormatting sqref="AN229:AN287 AL330:AN356">
    <cfRule type="containsText" dxfId="186" priority="341" operator="containsText" text="progress">
      <formula>NOT(ISERROR(SEARCH("progress",AL229)))</formula>
    </cfRule>
    <cfRule type="containsText" dxfId="185" priority="342" operator="containsText" text="clarification">
      <formula>NOT(ISERROR(SEARCH("clarification",AL229)))</formula>
    </cfRule>
    <cfRule type="containsText" dxfId="184" priority="343" operator="containsText" text="N/A">
      <formula>NOT(ISERROR(SEARCH("N/A",AL229)))</formula>
    </cfRule>
    <cfRule type="containsText" dxfId="183" priority="344" operator="containsText" text="done">
      <formula>NOT(ISERROR(SEARCH("done",AL229)))</formula>
    </cfRule>
    <cfRule type="containsText" dxfId="182" priority="345" operator="containsText" text="ready">
      <formula>NOT(ISERROR(SEARCH("ready",AL229)))</formula>
    </cfRule>
  </conditionalFormatting>
  <conditionalFormatting sqref="AN237:AN242">
    <cfRule type="containsText" dxfId="181" priority="336" operator="containsText" text="progress">
      <formula>NOT(ISERROR(SEARCH("progress",AN237)))</formula>
    </cfRule>
    <cfRule type="containsText" dxfId="180" priority="337" operator="containsText" text="clarification">
      <formula>NOT(ISERROR(SEARCH("clarification",AN237)))</formula>
    </cfRule>
    <cfRule type="containsText" dxfId="179" priority="338" operator="containsText" text="N/A">
      <formula>NOT(ISERROR(SEARCH("N/A",AN237)))</formula>
    </cfRule>
    <cfRule type="containsText" dxfId="178" priority="339" operator="containsText" text="done">
      <formula>NOT(ISERROR(SEARCH("done",AN237)))</formula>
    </cfRule>
    <cfRule type="containsText" dxfId="177" priority="340" operator="containsText" text="ready">
      <formula>NOT(ISERROR(SEARCH("ready",AN237)))</formula>
    </cfRule>
  </conditionalFormatting>
  <conditionalFormatting sqref="AN288:AN306">
    <cfRule type="containsText" dxfId="176" priority="16" operator="containsText" text="progress">
      <formula>NOT(ISERROR(SEARCH("progress",AN288)))</formula>
    </cfRule>
    <cfRule type="containsText" dxfId="175" priority="17" operator="containsText" text="clarification">
      <formula>NOT(ISERROR(SEARCH("clarification",AN288)))</formula>
    </cfRule>
    <cfRule type="containsText" dxfId="174" priority="18" operator="containsText" text="N/A">
      <formula>NOT(ISERROR(SEARCH("N/A",AN288)))</formula>
    </cfRule>
    <cfRule type="containsText" dxfId="173" priority="19" operator="containsText" text="done">
      <formula>NOT(ISERROR(SEARCH("done",AN288)))</formula>
    </cfRule>
    <cfRule type="containsText" dxfId="172" priority="20" operator="containsText" text="ready">
      <formula>NOT(ISERROR(SEARCH("ready",AN288)))</formula>
    </cfRule>
  </conditionalFormatting>
  <conditionalFormatting sqref="AN310:AN329">
    <cfRule type="containsText" dxfId="171" priority="231" operator="containsText" text="progress">
      <formula>NOT(ISERROR(SEARCH("progress",AN310)))</formula>
    </cfRule>
    <cfRule type="containsText" dxfId="170" priority="232" operator="containsText" text="clarification">
      <formula>NOT(ISERROR(SEARCH("clarification",AN310)))</formula>
    </cfRule>
    <cfRule type="containsText" dxfId="169" priority="233" operator="containsText" text="N/A">
      <formula>NOT(ISERROR(SEARCH("N/A",AN310)))</formula>
    </cfRule>
    <cfRule type="containsText" dxfId="168" priority="234" operator="containsText" text="done">
      <formula>NOT(ISERROR(SEARCH("done",AN310)))</formula>
    </cfRule>
    <cfRule type="containsText" dxfId="167" priority="235" operator="containsText" text="ready">
      <formula>NOT(ISERROR(SEARCH("ready",AN310)))</formula>
    </cfRule>
  </conditionalFormatting>
  <conditionalFormatting sqref="AN154:AR162">
    <cfRule type="containsText" dxfId="166" priority="391" operator="containsText" text="progress">
      <formula>NOT(ISERROR(SEARCH("progress",AN154)))</formula>
    </cfRule>
    <cfRule type="containsText" dxfId="165" priority="392" operator="containsText" text="clarification">
      <formula>NOT(ISERROR(SEARCH("clarification",AN154)))</formula>
    </cfRule>
    <cfRule type="containsText" dxfId="164" priority="393" operator="containsText" text="N/A">
      <formula>NOT(ISERROR(SEARCH("N/A",AN154)))</formula>
    </cfRule>
    <cfRule type="containsText" dxfId="163" priority="394" operator="containsText" text="done">
      <formula>NOT(ISERROR(SEARCH("done",AN154)))</formula>
    </cfRule>
    <cfRule type="containsText" dxfId="162" priority="395" operator="containsText" text="ready">
      <formula>NOT(ISERROR(SEARCH("ready",AN154)))</formula>
    </cfRule>
  </conditionalFormatting>
  <conditionalFormatting sqref="AN307:AR309">
    <cfRule type="containsText" dxfId="161" priority="291" operator="containsText" text="progress">
      <formula>NOT(ISERROR(SEARCH("progress",AN307)))</formula>
    </cfRule>
    <cfRule type="containsText" dxfId="160" priority="292" operator="containsText" text="clarification">
      <formula>NOT(ISERROR(SEARCH("clarification",AN307)))</formula>
    </cfRule>
    <cfRule type="containsText" dxfId="159" priority="293" operator="containsText" text="N/A">
      <formula>NOT(ISERROR(SEARCH("N/A",AN307)))</formula>
    </cfRule>
    <cfRule type="containsText" dxfId="158" priority="294" operator="containsText" text="done">
      <formula>NOT(ISERROR(SEARCH("done",AN307)))</formula>
    </cfRule>
    <cfRule type="containsText" dxfId="157" priority="295" operator="containsText" text="ready">
      <formula>NOT(ISERROR(SEARCH("ready",AN307)))</formula>
    </cfRule>
  </conditionalFormatting>
  <conditionalFormatting sqref="AO26">
    <cfRule type="containsText" dxfId="156" priority="481" operator="containsText" text="progress">
      <formula>NOT(ISERROR(SEARCH("progress",AO26)))</formula>
    </cfRule>
    <cfRule type="containsText" dxfId="155" priority="482" operator="containsText" text="clarification">
      <formula>NOT(ISERROR(SEARCH("clarification",AO26)))</formula>
    </cfRule>
    <cfRule type="containsText" dxfId="154" priority="483" operator="containsText" text="N/A">
      <formula>NOT(ISERROR(SEARCH("N/A",AO26)))</formula>
    </cfRule>
    <cfRule type="containsText" dxfId="153" priority="484" operator="containsText" text="done">
      <formula>NOT(ISERROR(SEARCH("done",AO26)))</formula>
    </cfRule>
    <cfRule type="containsText" dxfId="152" priority="485" operator="containsText" text="ready">
      <formula>NOT(ISERROR(SEARCH("ready",AO26)))</formula>
    </cfRule>
  </conditionalFormatting>
  <conditionalFormatting sqref="AO37">
    <cfRule type="containsText" dxfId="151" priority="471" operator="containsText" text="progress">
      <formula>NOT(ISERROR(SEARCH("progress",AO37)))</formula>
    </cfRule>
    <cfRule type="containsText" dxfId="150" priority="472" operator="containsText" text="clarification">
      <formula>NOT(ISERROR(SEARCH("clarification",AO37)))</formula>
    </cfRule>
    <cfRule type="containsText" dxfId="149" priority="473" operator="containsText" text="N/A">
      <formula>NOT(ISERROR(SEARCH("N/A",AO37)))</formula>
    </cfRule>
    <cfRule type="containsText" dxfId="148" priority="474" operator="containsText" text="done">
      <formula>NOT(ISERROR(SEARCH("done",AO37)))</formula>
    </cfRule>
    <cfRule type="containsText" dxfId="147" priority="475" operator="containsText" text="ready">
      <formula>NOT(ISERROR(SEARCH("ready",AO37)))</formula>
    </cfRule>
  </conditionalFormatting>
  <conditionalFormatting sqref="AO49">
    <cfRule type="containsText" dxfId="146" priority="466" operator="containsText" text="progress">
      <formula>NOT(ISERROR(SEARCH("progress",AO49)))</formula>
    </cfRule>
    <cfRule type="containsText" dxfId="145" priority="467" operator="containsText" text="clarification">
      <formula>NOT(ISERROR(SEARCH("clarification",AO49)))</formula>
    </cfRule>
    <cfRule type="containsText" dxfId="144" priority="468" operator="containsText" text="N/A">
      <formula>NOT(ISERROR(SEARCH("N/A",AO49)))</formula>
    </cfRule>
    <cfRule type="containsText" dxfId="143" priority="469" operator="containsText" text="done">
      <formula>NOT(ISERROR(SEARCH("done",AO49)))</formula>
    </cfRule>
    <cfRule type="containsText" dxfId="142" priority="470" operator="containsText" text="ready">
      <formula>NOT(ISERROR(SEARCH("ready",AO49)))</formula>
    </cfRule>
  </conditionalFormatting>
  <conditionalFormatting sqref="AO352:AQ352">
    <cfRule type="containsText" dxfId="141" priority="441" operator="containsText" text="progress">
      <formula>NOT(ISERROR(SEARCH("progress",AO352)))</formula>
    </cfRule>
    <cfRule type="containsText" dxfId="140" priority="442" operator="containsText" text="clarification">
      <formula>NOT(ISERROR(SEARCH("clarification",AO352)))</formula>
    </cfRule>
    <cfRule type="containsText" dxfId="139" priority="443" operator="containsText" text="N/A">
      <formula>NOT(ISERROR(SEARCH("N/A",AO352)))</formula>
    </cfRule>
    <cfRule type="containsText" dxfId="138" priority="444" operator="containsText" text="done">
      <formula>NOT(ISERROR(SEARCH("done",AO352)))</formula>
    </cfRule>
    <cfRule type="containsText" dxfId="137" priority="445" operator="containsText" text="ready">
      <formula>NOT(ISERROR(SEARCH("ready",AO352)))</formula>
    </cfRule>
  </conditionalFormatting>
  <conditionalFormatting sqref="AO354:AQ354">
    <cfRule type="containsText" dxfId="136" priority="426" operator="containsText" text="progress">
      <formula>NOT(ISERROR(SEARCH("progress",AO354)))</formula>
    </cfRule>
    <cfRule type="containsText" dxfId="135" priority="427" operator="containsText" text="clarification">
      <formula>NOT(ISERROR(SEARCH("clarification",AO354)))</formula>
    </cfRule>
    <cfRule type="containsText" dxfId="134" priority="428" operator="containsText" text="N/A">
      <formula>NOT(ISERROR(SEARCH("N/A",AO354)))</formula>
    </cfRule>
    <cfRule type="containsText" dxfId="133" priority="429" operator="containsText" text="done">
      <formula>NOT(ISERROR(SEARCH("done",AO354)))</formula>
    </cfRule>
    <cfRule type="containsText" dxfId="132" priority="430" operator="containsText" text="ready">
      <formula>NOT(ISERROR(SEARCH("ready",AO354)))</formula>
    </cfRule>
  </conditionalFormatting>
  <conditionalFormatting sqref="AO356:AQ356">
    <cfRule type="containsText" dxfId="131" priority="446" operator="containsText" text="progress">
      <formula>NOT(ISERROR(SEARCH("progress",AO356)))</formula>
    </cfRule>
    <cfRule type="containsText" dxfId="130" priority="447" operator="containsText" text="clarification">
      <formula>NOT(ISERROR(SEARCH("clarification",AO356)))</formula>
    </cfRule>
    <cfRule type="containsText" dxfId="129" priority="448" operator="containsText" text="N/A">
      <formula>NOT(ISERROR(SEARCH("N/A",AO356)))</formula>
    </cfRule>
    <cfRule type="containsText" dxfId="128" priority="449" operator="containsText" text="done">
      <formula>NOT(ISERROR(SEARCH("done",AO356)))</formula>
    </cfRule>
    <cfRule type="containsText" dxfId="127" priority="450" operator="containsText" text="ready">
      <formula>NOT(ISERROR(SEARCH("ready",AO356)))</formula>
    </cfRule>
  </conditionalFormatting>
  <conditionalFormatting sqref="AO330:AR349">
    <cfRule type="containsText" dxfId="126" priority="221" operator="containsText" text="progress">
      <formula>NOT(ISERROR(SEARCH("progress",AO330)))</formula>
    </cfRule>
    <cfRule type="containsText" dxfId="125" priority="222" operator="containsText" text="clarification">
      <formula>NOT(ISERROR(SEARCH("clarification",AO330)))</formula>
    </cfRule>
    <cfRule type="containsText" dxfId="124" priority="223" operator="containsText" text="N/A">
      <formula>NOT(ISERROR(SEARCH("N/A",AO330)))</formula>
    </cfRule>
    <cfRule type="containsText" dxfId="123" priority="224" operator="containsText" text="done">
      <formula>NOT(ISERROR(SEARCH("done",AO330)))</formula>
    </cfRule>
    <cfRule type="containsText" dxfId="122" priority="225" operator="containsText" text="ready">
      <formula>NOT(ISERROR(SEARCH("ready",AO330)))</formula>
    </cfRule>
  </conditionalFormatting>
  <conditionalFormatting sqref="AP351:AQ351">
    <cfRule type="containsText" dxfId="121" priority="436" operator="containsText" text="progress">
      <formula>NOT(ISERROR(SEARCH("progress",AP351)))</formula>
    </cfRule>
    <cfRule type="containsText" dxfId="120" priority="437" operator="containsText" text="clarification">
      <formula>NOT(ISERROR(SEARCH("clarification",AP351)))</formula>
    </cfRule>
    <cfRule type="containsText" dxfId="119" priority="438" operator="containsText" text="N/A">
      <formula>NOT(ISERROR(SEARCH("N/A",AP351)))</formula>
    </cfRule>
    <cfRule type="containsText" dxfId="118" priority="439" operator="containsText" text="done">
      <formula>NOT(ISERROR(SEARCH("done",AP351)))</formula>
    </cfRule>
    <cfRule type="containsText" dxfId="117" priority="440" operator="containsText" text="ready">
      <formula>NOT(ISERROR(SEARCH("ready",AP351)))</formula>
    </cfRule>
  </conditionalFormatting>
  <conditionalFormatting sqref="AP353:AQ353">
    <cfRule type="containsText" dxfId="116" priority="286" operator="containsText" text="progress">
      <formula>NOT(ISERROR(SEARCH("progress",AP353)))</formula>
    </cfRule>
    <cfRule type="containsText" dxfId="115" priority="287" operator="containsText" text="clarification">
      <formula>NOT(ISERROR(SEARCH("clarification",AP353)))</formula>
    </cfRule>
    <cfRule type="containsText" dxfId="114" priority="288" operator="containsText" text="N/A">
      <formula>NOT(ISERROR(SEARCH("N/A",AP353)))</formula>
    </cfRule>
    <cfRule type="containsText" dxfId="113" priority="289" operator="containsText" text="done">
      <formula>NOT(ISERROR(SEARCH("done",AP353)))</formula>
    </cfRule>
    <cfRule type="containsText" dxfId="112" priority="290" operator="containsText" text="ready">
      <formula>NOT(ISERROR(SEARCH("ready",AP353)))</formula>
    </cfRule>
  </conditionalFormatting>
  <conditionalFormatting sqref="AP355:AQ355">
    <cfRule type="containsText" dxfId="111" priority="431" operator="containsText" text="progress">
      <formula>NOT(ISERROR(SEARCH("progress",AP355)))</formula>
    </cfRule>
    <cfRule type="containsText" dxfId="110" priority="432" operator="containsText" text="clarification">
      <formula>NOT(ISERROR(SEARCH("clarification",AP355)))</formula>
    </cfRule>
    <cfRule type="containsText" dxfId="109" priority="433" operator="containsText" text="N/A">
      <formula>NOT(ISERROR(SEARCH("N/A",AP355)))</formula>
    </cfRule>
    <cfRule type="containsText" dxfId="108" priority="434" operator="containsText" text="done">
      <formula>NOT(ISERROR(SEARCH("done",AP355)))</formula>
    </cfRule>
    <cfRule type="containsText" dxfId="107" priority="435" operator="containsText" text="ready">
      <formula>NOT(ISERROR(SEARCH("ready",AP355)))</formula>
    </cfRule>
  </conditionalFormatting>
  <conditionalFormatting sqref="AP310:AR329">
    <cfRule type="containsText" dxfId="106" priority="226" operator="containsText" text="progress">
      <formula>NOT(ISERROR(SEARCH("progress",AP310)))</formula>
    </cfRule>
    <cfRule type="containsText" dxfId="105" priority="227" operator="containsText" text="clarification">
      <formula>NOT(ISERROR(SEARCH("clarification",AP310)))</formula>
    </cfRule>
    <cfRule type="containsText" dxfId="104" priority="228" operator="containsText" text="N/A">
      <formula>NOT(ISERROR(SEARCH("N/A",AP310)))</formula>
    </cfRule>
    <cfRule type="containsText" dxfId="103" priority="229" operator="containsText" text="done">
      <formula>NOT(ISERROR(SEARCH("done",AP310)))</formula>
    </cfRule>
    <cfRule type="containsText" dxfId="102" priority="230" operator="containsText" text="ready">
      <formula>NOT(ISERROR(SEARCH("ready",AP310)))</formula>
    </cfRule>
  </conditionalFormatting>
  <conditionalFormatting sqref="AQ3:AQ6">
    <cfRule type="containsText" dxfId="101" priority="461" operator="containsText" text="progress">
      <formula>NOT(ISERROR(SEARCH("progress",AQ3)))</formula>
    </cfRule>
    <cfRule type="containsText" dxfId="100" priority="462" operator="containsText" text="clarification">
      <formula>NOT(ISERROR(SEARCH("clarification",AQ3)))</formula>
    </cfRule>
    <cfRule type="containsText" dxfId="99" priority="463" operator="containsText" text="N/A">
      <formula>NOT(ISERROR(SEARCH("N/A",AQ3)))</formula>
    </cfRule>
    <cfRule type="containsText" dxfId="98" priority="464" operator="containsText" text="done">
      <formula>NOT(ISERROR(SEARCH("done",AQ3)))</formula>
    </cfRule>
    <cfRule type="containsText" dxfId="97" priority="465" operator="containsText" text="ready">
      <formula>NOT(ISERROR(SEARCH("ready",AQ3)))</formula>
    </cfRule>
  </conditionalFormatting>
  <conditionalFormatting sqref="AQ8:AQ17 AQ18:AR23 AR24:AR25 AR27 AQ36:AQ64 AR38 AO43 AQ70:AR152 AR351:AR356">
    <cfRule type="containsText" dxfId="96" priority="492" operator="containsText" text="clarification">
      <formula>NOT(ISERROR(SEARCH("clarification",AO8)))</formula>
    </cfRule>
    <cfRule type="containsText" dxfId="95" priority="493" operator="containsText" text="N/A">
      <formula>NOT(ISERROR(SEARCH("N/A",AO8)))</formula>
    </cfRule>
    <cfRule type="containsText" dxfId="94" priority="494" operator="containsText" text="done">
      <formula>NOT(ISERROR(SEARCH("done",AO8)))</formula>
    </cfRule>
    <cfRule type="containsText" dxfId="93" priority="495" operator="containsText" text="ready">
      <formula>NOT(ISERROR(SEARCH("ready",AO8)))</formula>
    </cfRule>
  </conditionalFormatting>
  <conditionalFormatting sqref="AQ24:AQ35">
    <cfRule type="containsText" dxfId="92" priority="277" operator="containsText" text="clarification">
      <formula>NOT(ISERROR(SEARCH("clarification",AQ24)))</formula>
    </cfRule>
    <cfRule type="containsText" dxfId="91" priority="278" operator="containsText" text="N/A">
      <formula>NOT(ISERROR(SEARCH("N/A",AQ24)))</formula>
    </cfRule>
    <cfRule type="containsText" dxfId="90" priority="279" operator="containsText" text="done">
      <formula>NOT(ISERROR(SEARCH("done",AQ24)))</formula>
    </cfRule>
    <cfRule type="containsText" dxfId="89" priority="280" operator="containsText" text="ready">
      <formula>NOT(ISERROR(SEARCH("ready",AQ24)))</formula>
    </cfRule>
  </conditionalFormatting>
  <conditionalFormatting sqref="AQ24:AQ44">
    <cfRule type="containsText" dxfId="88" priority="276" operator="containsText" text="progress">
      <formula>NOT(ISERROR(SEARCH("progress",AQ24)))</formula>
    </cfRule>
  </conditionalFormatting>
  <conditionalFormatting sqref="AQ42:AQ64 AQ70:AR152 AQ8:AQ17 AQ18:AR23 AR24:AR25 AR27 AQ38:AR38 AO43 AR351:AR356">
    <cfRule type="containsText" dxfId="87" priority="491" operator="containsText" text="progress">
      <formula>NOT(ISERROR(SEARCH("progress",AO8)))</formula>
    </cfRule>
  </conditionalFormatting>
  <conditionalFormatting sqref="AQ65">
    <cfRule type="containsText" dxfId="86" priority="301" operator="containsText" text="progress">
      <formula>NOT(ISERROR(SEARCH("progress",AQ65)))</formula>
    </cfRule>
    <cfRule type="containsText" dxfId="85" priority="302" operator="containsText" text="clarification">
      <formula>NOT(ISERROR(SEARCH("clarification",AQ65)))</formula>
    </cfRule>
    <cfRule type="containsText" dxfId="84" priority="303" operator="containsText" text="N/A">
      <formula>NOT(ISERROR(SEARCH("N/A",AQ65)))</formula>
    </cfRule>
    <cfRule type="containsText" dxfId="83" priority="304" operator="containsText" text="done">
      <formula>NOT(ISERROR(SEARCH("done",AQ65)))</formula>
    </cfRule>
    <cfRule type="containsText" dxfId="82" priority="305" operator="containsText" text="ready">
      <formula>NOT(ISERROR(SEARCH("ready",AQ65)))</formula>
    </cfRule>
    <cfRule type="containsText" dxfId="81" priority="306" operator="containsText" text="progress">
      <formula>NOT(ISERROR(SEARCH("progress",AQ65)))</formula>
    </cfRule>
    <cfRule type="containsText" dxfId="80" priority="307" operator="containsText" text="clarification">
      <formula>NOT(ISERROR(SEARCH("clarification",AQ65)))</formula>
    </cfRule>
    <cfRule type="containsText" dxfId="79" priority="308" operator="containsText" text="N/A">
      <formula>NOT(ISERROR(SEARCH("N/A",AQ65)))</formula>
    </cfRule>
    <cfRule type="containsText" dxfId="78" priority="309" operator="containsText" text="done">
      <formula>NOT(ISERROR(SEARCH("done",AQ65)))</formula>
    </cfRule>
    <cfRule type="containsText" dxfId="77" priority="310" operator="containsText" text="ready">
      <formula>NOT(ISERROR(SEARCH("ready",AQ65)))</formula>
    </cfRule>
  </conditionalFormatting>
  <conditionalFormatting sqref="AQ66">
    <cfRule type="containsText" dxfId="76" priority="456" operator="containsText" text="progress">
      <formula>NOT(ISERROR(SEARCH("progress",AQ66)))</formula>
    </cfRule>
    <cfRule type="containsText" dxfId="75" priority="457" operator="containsText" text="clarification">
      <formula>NOT(ISERROR(SEARCH("clarification",AQ66)))</formula>
    </cfRule>
    <cfRule type="containsText" dxfId="74" priority="458" operator="containsText" text="N/A">
      <formula>NOT(ISERROR(SEARCH("N/A",AQ66)))</formula>
    </cfRule>
    <cfRule type="containsText" dxfId="73" priority="459" operator="containsText" text="done">
      <formula>NOT(ISERROR(SEARCH("done",AQ66)))</formula>
    </cfRule>
    <cfRule type="containsText" dxfId="72" priority="460" operator="containsText" text="ready">
      <formula>NOT(ISERROR(SEARCH("ready",AQ66)))</formula>
    </cfRule>
  </conditionalFormatting>
  <conditionalFormatting sqref="AQ66:AQ68">
    <cfRule type="containsText" dxfId="71" priority="316" operator="containsText" text="progress">
      <formula>NOT(ISERROR(SEARCH("progress",AQ66)))</formula>
    </cfRule>
    <cfRule type="containsText" dxfId="70" priority="317" operator="containsText" text="clarification">
      <formula>NOT(ISERROR(SEARCH("clarification",AQ66)))</formula>
    </cfRule>
    <cfRule type="containsText" dxfId="69" priority="318" operator="containsText" text="N/A">
      <formula>NOT(ISERROR(SEARCH("N/A",AQ66)))</formula>
    </cfRule>
    <cfRule type="containsText" dxfId="68" priority="319" operator="containsText" text="done">
      <formula>NOT(ISERROR(SEARCH("done",AQ66)))</formula>
    </cfRule>
    <cfRule type="containsText" dxfId="67" priority="320" operator="containsText" text="ready">
      <formula>NOT(ISERROR(SEARCH("ready",AQ66)))</formula>
    </cfRule>
  </conditionalFormatting>
  <conditionalFormatting sqref="AQ67">
    <cfRule type="containsText" dxfId="66" priority="311" operator="containsText" text="progress">
      <formula>NOT(ISERROR(SEARCH("progress",AQ67)))</formula>
    </cfRule>
    <cfRule type="containsText" dxfId="65" priority="312" operator="containsText" text="clarification">
      <formula>NOT(ISERROR(SEARCH("clarification",AQ67)))</formula>
    </cfRule>
    <cfRule type="containsText" dxfId="64" priority="313" operator="containsText" text="N/A">
      <formula>NOT(ISERROR(SEARCH("N/A",AQ67)))</formula>
    </cfRule>
    <cfRule type="containsText" dxfId="63" priority="314" operator="containsText" text="done">
      <formula>NOT(ISERROR(SEARCH("done",AQ67)))</formula>
    </cfRule>
    <cfRule type="containsText" dxfId="62" priority="315" operator="containsText" text="ready">
      <formula>NOT(ISERROR(SEARCH("ready",AQ67)))</formula>
    </cfRule>
  </conditionalFormatting>
  <conditionalFormatting sqref="AQ68">
    <cfRule type="containsText" dxfId="61" priority="321" operator="containsText" text="progress">
      <formula>NOT(ISERROR(SEARCH("progress",AQ68)))</formula>
    </cfRule>
    <cfRule type="containsText" dxfId="60" priority="322" operator="containsText" text="clarification">
      <formula>NOT(ISERROR(SEARCH("clarification",AQ68)))</formula>
    </cfRule>
    <cfRule type="containsText" dxfId="59" priority="323" operator="containsText" text="N/A">
      <formula>NOT(ISERROR(SEARCH("N/A",AQ68)))</formula>
    </cfRule>
    <cfRule type="containsText" dxfId="58" priority="324" operator="containsText" text="done">
      <formula>NOT(ISERROR(SEARCH("done",AQ68)))</formula>
    </cfRule>
    <cfRule type="containsText" dxfId="57" priority="325" operator="containsText" text="ready">
      <formula>NOT(ISERROR(SEARCH("ready",AQ68)))</formula>
    </cfRule>
  </conditionalFormatting>
  <conditionalFormatting sqref="AQ70:AQ153">
    <cfRule type="containsText" dxfId="56" priority="271" operator="containsText" text="progress">
      <formula>NOT(ISERROR(SEARCH("progress",AQ70)))</formula>
    </cfRule>
    <cfRule type="containsText" dxfId="55" priority="272" operator="containsText" text="clarification">
      <formula>NOT(ISERROR(SEARCH("clarification",AQ70)))</formula>
    </cfRule>
    <cfRule type="containsText" dxfId="54" priority="273" operator="containsText" text="N/A">
      <formula>NOT(ISERROR(SEARCH("N/A",AQ70)))</formula>
    </cfRule>
    <cfRule type="containsText" dxfId="53" priority="274" operator="containsText" text="done">
      <formula>NOT(ISERROR(SEARCH("done",AQ70)))</formula>
    </cfRule>
    <cfRule type="containsText" dxfId="52" priority="275" operator="containsText" text="ready">
      <formula>NOT(ISERROR(SEARCH("ready",AQ70)))</formula>
    </cfRule>
  </conditionalFormatting>
  <conditionalFormatting sqref="AQ242">
    <cfRule type="containsText" dxfId="51" priority="191" operator="containsText" text="progress">
      <formula>NOT(ISERROR(SEARCH("progress",AQ242)))</formula>
    </cfRule>
    <cfRule type="containsText" dxfId="50" priority="192" operator="containsText" text="clarification">
      <formula>NOT(ISERROR(SEARCH("clarification",AQ242)))</formula>
    </cfRule>
    <cfRule type="containsText" dxfId="49" priority="193" operator="containsText" text="N/A">
      <formula>NOT(ISERROR(SEARCH("N/A",AQ242)))</formula>
    </cfRule>
    <cfRule type="containsText" dxfId="48" priority="194" operator="containsText" text="done">
      <formula>NOT(ISERROR(SEARCH("done",AQ242)))</formula>
    </cfRule>
    <cfRule type="containsText" dxfId="47" priority="195" operator="containsText" text="ready">
      <formula>NOT(ISERROR(SEARCH("ready",AQ242)))</formula>
    </cfRule>
  </conditionalFormatting>
  <conditionalFormatting sqref="AQ251:AQ258">
    <cfRule type="containsText" dxfId="46" priority="211" operator="containsText" text="progress">
      <formula>NOT(ISERROR(SEARCH("progress",AQ251)))</formula>
    </cfRule>
    <cfRule type="containsText" dxfId="45" priority="212" operator="containsText" text="clarification">
      <formula>NOT(ISERROR(SEARCH("clarification",AQ251)))</formula>
    </cfRule>
    <cfRule type="containsText" dxfId="44" priority="213" operator="containsText" text="N/A">
      <formula>NOT(ISERROR(SEARCH("N/A",AQ251)))</formula>
    </cfRule>
    <cfRule type="containsText" dxfId="43" priority="214" operator="containsText" text="done">
      <formula>NOT(ISERROR(SEARCH("done",AQ251)))</formula>
    </cfRule>
    <cfRule type="containsText" dxfId="42" priority="215" operator="containsText" text="ready">
      <formula>NOT(ISERROR(SEARCH("ready",AQ251)))</formula>
    </cfRule>
  </conditionalFormatting>
  <conditionalFormatting sqref="AQ267:AQ274">
    <cfRule type="containsText" dxfId="41" priority="216" operator="containsText" text="progress">
      <formula>NOT(ISERROR(SEARCH("progress",AQ267)))</formula>
    </cfRule>
    <cfRule type="containsText" dxfId="40" priority="217" operator="containsText" text="clarification">
      <formula>NOT(ISERROR(SEARCH("clarification",AQ267)))</formula>
    </cfRule>
    <cfRule type="containsText" dxfId="39" priority="218" operator="containsText" text="N/A">
      <formula>NOT(ISERROR(SEARCH("N/A",AQ267)))</formula>
    </cfRule>
    <cfRule type="containsText" dxfId="38" priority="219" operator="containsText" text="done">
      <formula>NOT(ISERROR(SEARCH("done",AQ267)))</formula>
    </cfRule>
    <cfRule type="containsText" dxfId="37" priority="220" operator="containsText" text="ready">
      <formula>NOT(ISERROR(SEARCH("ready",AQ267)))</formula>
    </cfRule>
  </conditionalFormatting>
  <conditionalFormatting sqref="AQ358:AQ362">
    <cfRule type="containsText" dxfId="36" priority="281" operator="containsText" text="progress">
      <formula>NOT(ISERROR(SEARCH("progress",AQ358)))</formula>
    </cfRule>
    <cfRule type="containsText" dxfId="35" priority="282" operator="containsText" text="clarification">
      <formula>NOT(ISERROR(SEARCH("clarification",AQ358)))</formula>
    </cfRule>
    <cfRule type="containsText" dxfId="34" priority="283" operator="containsText" text="N/A">
      <formula>NOT(ISERROR(SEARCH("N/A",AQ358)))</formula>
    </cfRule>
    <cfRule type="containsText" dxfId="33" priority="284" operator="containsText" text="done">
      <formula>NOT(ISERROR(SEARCH("done",AQ358)))</formula>
    </cfRule>
    <cfRule type="containsText" dxfId="32" priority="285" operator="containsText" text="ready">
      <formula>NOT(ISERROR(SEARCH("ready",AQ358)))</formula>
    </cfRule>
  </conditionalFormatting>
  <conditionalFormatting sqref="AQ163:AR241">
    <cfRule type="containsText" dxfId="31" priority="146" operator="containsText" text="progress">
      <formula>NOT(ISERROR(SEARCH("progress",AQ163)))</formula>
    </cfRule>
    <cfRule type="containsText" dxfId="30" priority="147" operator="containsText" text="clarification">
      <formula>NOT(ISERROR(SEARCH("clarification",AQ163)))</formula>
    </cfRule>
    <cfRule type="containsText" dxfId="29" priority="148" operator="containsText" text="N/A">
      <formula>NOT(ISERROR(SEARCH("N/A",AQ163)))</formula>
    </cfRule>
    <cfRule type="containsText" dxfId="28" priority="149" operator="containsText" text="done">
      <formula>NOT(ISERROR(SEARCH("done",AQ163)))</formula>
    </cfRule>
    <cfRule type="containsText" dxfId="27" priority="150" operator="containsText" text="ready">
      <formula>NOT(ISERROR(SEARCH("ready",AQ163)))</formula>
    </cfRule>
  </conditionalFormatting>
  <conditionalFormatting sqref="AQ275:AR306">
    <cfRule type="containsText" dxfId="26" priority="6" operator="containsText" text="progress">
      <formula>NOT(ISERROR(SEARCH("progress",AQ275)))</formula>
    </cfRule>
  </conditionalFormatting>
  <conditionalFormatting sqref="AQ282:AR306">
    <cfRule type="containsText" dxfId="25" priority="7" operator="containsText" text="clarification">
      <formula>NOT(ISERROR(SEARCH("clarification",AQ282)))</formula>
    </cfRule>
    <cfRule type="containsText" dxfId="24" priority="8" operator="containsText" text="N/A">
      <formula>NOT(ISERROR(SEARCH("N/A",AQ282)))</formula>
    </cfRule>
    <cfRule type="containsText" dxfId="23" priority="9" operator="containsText" text="done">
      <formula>NOT(ISERROR(SEARCH("done",AQ282)))</formula>
    </cfRule>
    <cfRule type="containsText" dxfId="22" priority="10" operator="containsText" text="ready">
      <formula>NOT(ISERROR(SEARCH("ready",AQ282)))</formula>
    </cfRule>
  </conditionalFormatting>
  <conditionalFormatting sqref="AR8">
    <cfRule type="cellIs" dxfId="21" priority="496" operator="notBetween">
      <formula>$D8</formula>
      <formula>-$D8</formula>
    </cfRule>
    <cfRule type="cellIs" dxfId="20" priority="497" operator="between">
      <formula>$D8</formula>
      <formula>-$D8</formula>
    </cfRule>
  </conditionalFormatting>
  <conditionalFormatting sqref="AR39:AR44 AQ42:AQ44 AQ45:AR64 AR65:AR68">
    <cfRule type="containsText" dxfId="19" priority="488" operator="containsText" text="N/A">
      <formula>NOT(ISERROR(SEARCH("N/A",AQ39)))</formula>
    </cfRule>
    <cfRule type="containsText" dxfId="18" priority="489" operator="containsText" text="done">
      <formula>NOT(ISERROR(SEARCH("done",AQ39)))</formula>
    </cfRule>
    <cfRule type="containsText" dxfId="17" priority="490" operator="containsText" text="ready">
      <formula>NOT(ISERROR(SEARCH("ready",AQ39)))</formula>
    </cfRule>
  </conditionalFormatting>
  <conditionalFormatting sqref="AR39:AR44 AQ45:AR64 AR65:AR68 AQ42:AQ44">
    <cfRule type="containsText" dxfId="16" priority="487" operator="containsText" text="clarification">
      <formula>NOT(ISERROR(SEARCH("clarification",AQ39)))</formula>
    </cfRule>
  </conditionalFormatting>
  <conditionalFormatting sqref="AR39:AR44 AQ45:AR64 AR65:AR68">
    <cfRule type="containsText" dxfId="15" priority="486" operator="containsText" text="progress">
      <formula>NOT(ISERROR(SEARCH("progress",AQ39)))</formula>
    </cfRule>
  </conditionalFormatting>
  <conditionalFormatting sqref="AR153">
    <cfRule type="containsText" dxfId="14" priority="396" operator="containsText" text="progress">
      <formula>NOT(ISERROR(SEARCH("progress",AR153)))</formula>
    </cfRule>
    <cfRule type="containsText" dxfId="13" priority="397" operator="containsText" text="clarification">
      <formula>NOT(ISERROR(SEARCH("clarification",AR153)))</formula>
    </cfRule>
    <cfRule type="containsText" dxfId="12" priority="398" operator="containsText" text="N/A">
      <formula>NOT(ISERROR(SEARCH("N/A",AR153)))</formula>
    </cfRule>
    <cfRule type="containsText" dxfId="11" priority="399" operator="containsText" text="done">
      <formula>NOT(ISERROR(SEARCH("done",AR153)))</formula>
    </cfRule>
    <cfRule type="containsText" dxfId="10" priority="400" operator="containsText" text="ready">
      <formula>NOT(ISERROR(SEARCH("ready",AR153)))</formula>
    </cfRule>
  </conditionalFormatting>
  <conditionalFormatting sqref="AR242:AR244 AQ243:AR250 AR251:AR260 AQ259:AR266 AR267:AR276 AQ275:AR281">
    <cfRule type="containsText" dxfId="9" priority="297" operator="containsText" text="clarification">
      <formula>NOT(ISERROR(SEARCH("clarification",AQ242)))</formula>
    </cfRule>
    <cfRule type="containsText" dxfId="8" priority="298" operator="containsText" text="N/A">
      <formula>NOT(ISERROR(SEARCH("N/A",AQ242)))</formula>
    </cfRule>
    <cfRule type="containsText" dxfId="7" priority="299" operator="containsText" text="done">
      <formula>NOT(ISERROR(SEARCH("done",AQ242)))</formula>
    </cfRule>
    <cfRule type="containsText" dxfId="6" priority="300" operator="containsText" text="ready">
      <formula>NOT(ISERROR(SEARCH("ready",AQ242)))</formula>
    </cfRule>
  </conditionalFormatting>
  <conditionalFormatting sqref="AR242:AR244 AQ243:AR250 AR251:AR260 AQ259:AR266 AR267:AR276">
    <cfRule type="containsText" dxfId="5" priority="296" operator="containsText" text="progress">
      <formula>NOT(ISERROR(SEARCH("progress",AQ242)))</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E42F8-4476-4936-975A-0B8FEB2F77E1}">
  <dimension ref="B2:U21"/>
  <sheetViews>
    <sheetView zoomScaleNormal="100" workbookViewId="0"/>
  </sheetViews>
  <sheetFormatPr defaultRowHeight="14.4" x14ac:dyDescent="0.3"/>
  <cols>
    <col min="2" max="2" width="8.6640625" customWidth="1"/>
    <col min="3" max="3" width="6.21875" bestFit="1" customWidth="1"/>
    <col min="4" max="4" width="21.88671875" bestFit="1" customWidth="1"/>
    <col min="5" max="5" width="21.109375" bestFit="1" customWidth="1"/>
    <col min="6" max="6" width="14.109375" bestFit="1" customWidth="1"/>
    <col min="7" max="7" width="15.44140625" bestFit="1" customWidth="1"/>
    <col min="8" max="8" width="14.5546875" bestFit="1" customWidth="1"/>
    <col min="10" max="10" width="7.77734375" bestFit="1" customWidth="1"/>
    <col min="11" max="11" width="9.33203125" bestFit="1" customWidth="1"/>
    <col min="12" max="12" width="15.44140625" bestFit="1" customWidth="1"/>
    <col min="13" max="13" width="19.77734375" bestFit="1" customWidth="1"/>
    <col min="14" max="14" width="12.33203125" bestFit="1" customWidth="1"/>
    <col min="15" max="15" width="13.33203125" bestFit="1" customWidth="1"/>
    <col min="16" max="16" width="13.6640625" bestFit="1" customWidth="1"/>
    <col min="19" max="19" width="10.5546875" bestFit="1" customWidth="1"/>
    <col min="20" max="20" width="14.33203125" bestFit="1" customWidth="1"/>
    <col min="21" max="21" width="8.6640625" bestFit="1" customWidth="1"/>
  </cols>
  <sheetData>
    <row r="2" spans="2:21" x14ac:dyDescent="0.3">
      <c r="B2" s="82" t="s">
        <v>690</v>
      </c>
      <c r="C2" s="82"/>
      <c r="D2" s="82"/>
      <c r="E2" s="82"/>
      <c r="F2" s="82"/>
      <c r="G2" s="82"/>
      <c r="H2" s="82"/>
      <c r="I2" s="82"/>
      <c r="J2" s="82"/>
      <c r="K2" s="82"/>
      <c r="L2" s="82"/>
      <c r="M2" s="82"/>
      <c r="N2" s="82"/>
      <c r="O2" s="82"/>
      <c r="P2" s="82"/>
      <c r="Q2" s="82"/>
      <c r="R2" s="82"/>
      <c r="S2" s="82"/>
      <c r="T2" s="82"/>
      <c r="U2" s="82"/>
    </row>
    <row r="3" spans="2:21" x14ac:dyDescent="0.3">
      <c r="B3" s="83"/>
      <c r="C3" s="83"/>
      <c r="D3" s="83"/>
      <c r="E3" s="83"/>
      <c r="F3" s="83"/>
      <c r="G3" s="83"/>
      <c r="H3" s="83"/>
      <c r="I3" s="83"/>
      <c r="J3" s="83"/>
      <c r="K3" s="83"/>
      <c r="L3" s="83"/>
      <c r="M3" s="83"/>
      <c r="N3" s="83"/>
      <c r="O3" s="83"/>
      <c r="P3" s="83"/>
      <c r="Q3" s="83"/>
      <c r="R3" s="83"/>
      <c r="S3" s="83"/>
      <c r="T3" s="83"/>
      <c r="U3" s="83"/>
    </row>
    <row r="4" spans="2:21" x14ac:dyDescent="0.3">
      <c r="B4" t="s">
        <v>691</v>
      </c>
      <c r="C4" s="83"/>
      <c r="D4" s="83"/>
      <c r="E4" s="83"/>
      <c r="F4" s="83"/>
      <c r="G4" s="83"/>
      <c r="H4" s="83"/>
      <c r="I4" s="83"/>
      <c r="J4" s="83"/>
      <c r="K4" s="83"/>
      <c r="L4" s="83"/>
      <c r="M4" s="83"/>
      <c r="N4" s="83"/>
      <c r="O4" s="83"/>
      <c r="P4" s="83"/>
      <c r="Q4" s="83"/>
      <c r="R4" s="83"/>
      <c r="S4" s="83"/>
      <c r="T4" s="83"/>
      <c r="U4" s="83"/>
    </row>
    <row r="6" spans="2:21" x14ac:dyDescent="0.3">
      <c r="B6" s="82" t="s">
        <v>706</v>
      </c>
      <c r="C6" s="82"/>
      <c r="D6" s="82"/>
      <c r="E6" s="82"/>
      <c r="F6" s="82"/>
      <c r="G6" s="82"/>
      <c r="H6" s="82"/>
      <c r="J6" s="82" t="s">
        <v>705</v>
      </c>
      <c r="K6" s="82"/>
      <c r="L6" s="82"/>
      <c r="M6" s="82"/>
      <c r="N6" s="82"/>
      <c r="O6" s="82"/>
      <c r="P6" s="82"/>
      <c r="Q6" s="82"/>
      <c r="R6" s="82"/>
      <c r="S6" s="82"/>
      <c r="T6" s="82"/>
      <c r="U6" s="82"/>
    </row>
    <row r="8" spans="2:21" x14ac:dyDescent="0.3">
      <c r="B8" s="81" t="s">
        <v>694</v>
      </c>
      <c r="C8" s="81" t="s">
        <v>689</v>
      </c>
      <c r="D8" s="81" t="s">
        <v>692</v>
      </c>
      <c r="E8" s="81" t="s">
        <v>693</v>
      </c>
      <c r="F8" s="81" t="s">
        <v>695</v>
      </c>
      <c r="G8" s="81" t="s">
        <v>688</v>
      </c>
      <c r="H8" s="81" t="s">
        <v>696</v>
      </c>
      <c r="J8" s="81" t="s">
        <v>694</v>
      </c>
      <c r="K8" s="81" t="s">
        <v>687</v>
      </c>
      <c r="L8" s="81" t="s">
        <v>688</v>
      </c>
      <c r="M8" s="81" t="s">
        <v>697</v>
      </c>
      <c r="N8" s="81" t="s">
        <v>703</v>
      </c>
      <c r="O8" s="81" t="s">
        <v>698</v>
      </c>
      <c r="P8" s="81" t="s">
        <v>699</v>
      </c>
      <c r="Q8" s="81" t="s">
        <v>700</v>
      </c>
      <c r="R8" s="81" t="s">
        <v>700</v>
      </c>
      <c r="S8" s="81" t="s">
        <v>701</v>
      </c>
      <c r="T8" s="81" t="s">
        <v>702</v>
      </c>
      <c r="U8" s="81" t="s">
        <v>704</v>
      </c>
    </row>
    <row r="9" spans="2:21" x14ac:dyDescent="0.3">
      <c r="B9" s="80">
        <v>0.1</v>
      </c>
      <c r="C9" s="80">
        <v>0.2</v>
      </c>
      <c r="D9" s="80">
        <v>1.4999999999999999E-2</v>
      </c>
      <c r="E9" s="80">
        <v>4.0000000000000001E-3</v>
      </c>
      <c r="F9" s="80">
        <f t="shared" ref="F9:F17" si="0">B9*D9*10</f>
        <v>1.4999999999999999E-2</v>
      </c>
      <c r="G9" s="80">
        <f t="shared" ref="G9:G17" si="1">C9*E9*10</f>
        <v>8.0000000000000002E-3</v>
      </c>
      <c r="H9" s="80">
        <f t="shared" ref="H9:H11" si="2">F9+G9</f>
        <v>2.3E-2</v>
      </c>
      <c r="J9" s="80">
        <v>0.1</v>
      </c>
      <c r="K9" s="87">
        <v>1.4499999999999999E-3</v>
      </c>
      <c r="L9" s="88">
        <v>1.8</v>
      </c>
      <c r="M9" s="80">
        <f>H9</f>
        <v>2.3E-2</v>
      </c>
      <c r="N9" s="84">
        <f>J9*K9+L9/1000-M9/1000</f>
        <v>1.9219999999999999E-3</v>
      </c>
      <c r="O9" s="85">
        <v>9.9000000000000005E-2</v>
      </c>
      <c r="P9" s="85">
        <v>0.10100000000000001</v>
      </c>
      <c r="Q9" s="85">
        <f>J9-O9</f>
        <v>1.0000000000000009E-3</v>
      </c>
      <c r="R9" s="85">
        <f>P9-J9</f>
        <v>1.0000000000000009E-3</v>
      </c>
      <c r="S9" s="85">
        <f>MAX(Q9:R9)</f>
        <v>1.0000000000000009E-3</v>
      </c>
      <c r="T9" s="80" t="str">
        <f>IF(S9&gt;N9,"OUT OF RANGE!","OK")</f>
        <v>OK</v>
      </c>
      <c r="U9" s="86">
        <f>(J9*K9+L9/1000)/J9</f>
        <v>1.9449999999999999E-2</v>
      </c>
    </row>
    <row r="10" spans="2:21" x14ac:dyDescent="0.3">
      <c r="B10" s="80">
        <v>0.5</v>
      </c>
      <c r="C10" s="80">
        <v>2</v>
      </c>
      <c r="D10" s="80">
        <v>1.4999999999999999E-2</v>
      </c>
      <c r="E10" s="80">
        <v>3.0000000000000001E-3</v>
      </c>
      <c r="F10" s="80">
        <f t="shared" si="0"/>
        <v>7.4999999999999997E-2</v>
      </c>
      <c r="G10" s="80">
        <f t="shared" si="1"/>
        <v>0.06</v>
      </c>
      <c r="H10" s="80">
        <f t="shared" si="2"/>
        <v>0.13500000000000001</v>
      </c>
      <c r="J10" s="80">
        <v>0.5</v>
      </c>
      <c r="K10" s="87">
        <f>$K$9</f>
        <v>1.4499999999999999E-3</v>
      </c>
      <c r="L10" s="88">
        <f t="shared" ref="L10:L17" si="3">$L$9</f>
        <v>1.8</v>
      </c>
      <c r="M10" s="80">
        <f>H10</f>
        <v>0.13500000000000001</v>
      </c>
      <c r="N10" s="84">
        <f t="shared" ref="N10:N17" si="4">J10*K10+L10/1000-M10/1000</f>
        <v>2.3899999999999998E-3</v>
      </c>
      <c r="O10" s="85">
        <v>0.499</v>
      </c>
      <c r="P10" s="85">
        <v>0.502</v>
      </c>
      <c r="Q10" s="85">
        <f>J10-O10</f>
        <v>1.0000000000000009E-3</v>
      </c>
      <c r="R10" s="85">
        <f>P10-J10</f>
        <v>2.0000000000000018E-3</v>
      </c>
      <c r="S10" s="85">
        <f>MAX(Q10:R10)</f>
        <v>2.0000000000000018E-3</v>
      </c>
      <c r="T10" s="80" t="str">
        <f>IF(S10&gt;N10,"OUT OF RANGE!","OK")</f>
        <v>OK</v>
      </c>
      <c r="U10" s="86">
        <f t="shared" ref="U10:U17" si="5">(J10*K10+L10/1000)/J10</f>
        <v>5.0499999999999998E-3</v>
      </c>
    </row>
    <row r="11" spans="2:21" x14ac:dyDescent="0.3">
      <c r="B11" s="80">
        <v>1</v>
      </c>
      <c r="C11" s="80">
        <v>2</v>
      </c>
      <c r="D11" s="80">
        <v>1.4999999999999999E-2</v>
      </c>
      <c r="E11" s="80">
        <v>3.0000000000000001E-3</v>
      </c>
      <c r="F11" s="80">
        <f t="shared" si="0"/>
        <v>0.15</v>
      </c>
      <c r="G11" s="80">
        <f t="shared" si="1"/>
        <v>0.06</v>
      </c>
      <c r="H11" s="80">
        <f t="shared" si="2"/>
        <v>0.21</v>
      </c>
      <c r="J11" s="80">
        <v>1</v>
      </c>
      <c r="K11" s="87">
        <f>$K$9</f>
        <v>1.4499999999999999E-3</v>
      </c>
      <c r="L11" s="88">
        <f t="shared" si="3"/>
        <v>1.8</v>
      </c>
      <c r="M11" s="80">
        <f>H11</f>
        <v>0.21</v>
      </c>
      <c r="N11" s="84">
        <f t="shared" si="4"/>
        <v>3.0399999999999997E-3</v>
      </c>
      <c r="O11" s="85">
        <v>1</v>
      </c>
      <c r="P11" s="85">
        <v>1.0029999999999999</v>
      </c>
      <c r="Q11" s="85">
        <f>J11-O11</f>
        <v>0</v>
      </c>
      <c r="R11" s="85">
        <f>P11-J11</f>
        <v>2.9999999999998916E-3</v>
      </c>
      <c r="S11" s="85">
        <f>MAX(Q11:R11)</f>
        <v>2.9999999999998916E-3</v>
      </c>
      <c r="T11" s="80" t="str">
        <f>IF(S11&gt;N11,"OUT OF RANGE!","OK")</f>
        <v>OK</v>
      </c>
      <c r="U11" s="86">
        <f t="shared" si="5"/>
        <v>3.2499999999999999E-3</v>
      </c>
    </row>
    <row r="12" spans="2:21" x14ac:dyDescent="0.3">
      <c r="B12" s="80">
        <v>2</v>
      </c>
      <c r="C12" s="80">
        <v>2</v>
      </c>
      <c r="D12" s="80">
        <v>1.4999999999999999E-2</v>
      </c>
      <c r="E12" s="80">
        <v>3.0000000000000001E-3</v>
      </c>
      <c r="F12" s="80">
        <f>B12*D12*10</f>
        <v>0.3</v>
      </c>
      <c r="G12" s="80">
        <f>C12*E12*10</f>
        <v>0.06</v>
      </c>
      <c r="H12" s="80">
        <f>F12+G12</f>
        <v>0.36</v>
      </c>
      <c r="J12" s="80">
        <v>2</v>
      </c>
      <c r="K12" s="87">
        <f>$K$9</f>
        <v>1.4499999999999999E-3</v>
      </c>
      <c r="L12" s="88">
        <f t="shared" si="3"/>
        <v>1.8</v>
      </c>
      <c r="M12" s="80">
        <f>H12</f>
        <v>0.36</v>
      </c>
      <c r="N12" s="84">
        <f t="shared" si="4"/>
        <v>4.3399999999999992E-3</v>
      </c>
      <c r="O12" s="85">
        <v>1.998</v>
      </c>
      <c r="P12" s="85">
        <v>2.0030000000000001</v>
      </c>
      <c r="Q12" s="85">
        <f>J12-O12</f>
        <v>2.0000000000000018E-3</v>
      </c>
      <c r="R12" s="85">
        <f>P12-J12</f>
        <v>3.0000000000001137E-3</v>
      </c>
      <c r="S12" s="85">
        <f>MAX(Q12:R12)</f>
        <v>3.0000000000001137E-3</v>
      </c>
      <c r="T12" s="80" t="str">
        <f>IF(S12&gt;N12,"OUT OF RANGE!","OK")</f>
        <v>OK</v>
      </c>
      <c r="U12" s="86">
        <f t="shared" si="5"/>
        <v>2.3499999999999997E-3</v>
      </c>
    </row>
    <row r="13" spans="2:21" x14ac:dyDescent="0.3">
      <c r="B13" s="80">
        <v>8</v>
      </c>
      <c r="C13" s="80">
        <v>20</v>
      </c>
      <c r="D13" s="80">
        <v>1.4999999999999999E-2</v>
      </c>
      <c r="E13" s="80">
        <v>4.0000000000000001E-3</v>
      </c>
      <c r="F13" s="80">
        <f t="shared" ref="F13:F17" si="6">B13*D13*10</f>
        <v>1.2</v>
      </c>
      <c r="G13" s="80">
        <f t="shared" ref="G13:G17" si="7">C13*E13*10</f>
        <v>0.8</v>
      </c>
      <c r="H13" s="80">
        <f t="shared" ref="H13:H17" si="8">F13+G13</f>
        <v>2</v>
      </c>
      <c r="J13" s="80">
        <v>8</v>
      </c>
      <c r="K13" s="87">
        <f>$K$9</f>
        <v>1.4499999999999999E-3</v>
      </c>
      <c r="L13" s="88">
        <f t="shared" si="3"/>
        <v>1.8</v>
      </c>
      <c r="M13" s="80">
        <f>H13</f>
        <v>2</v>
      </c>
      <c r="N13" s="84">
        <f t="shared" si="4"/>
        <v>1.1399999999999999E-2</v>
      </c>
      <c r="O13" s="85">
        <v>7.9950000000000001</v>
      </c>
      <c r="P13" s="85">
        <v>8.0090000000000003</v>
      </c>
      <c r="Q13" s="85">
        <f>J13-O13</f>
        <v>4.9999999999998934E-3</v>
      </c>
      <c r="R13" s="85">
        <f>P13-J13</f>
        <v>9.0000000000003411E-3</v>
      </c>
      <c r="S13" s="85">
        <f>MAX(Q13:R13)</f>
        <v>9.0000000000003411E-3</v>
      </c>
      <c r="T13" s="80" t="str">
        <f>IF(S13&gt;N13,"OUT OF RANGE!","OK")</f>
        <v>OK</v>
      </c>
      <c r="U13" s="86">
        <f t="shared" si="5"/>
        <v>1.6749999999999998E-3</v>
      </c>
    </row>
    <row r="14" spans="2:21" x14ac:dyDescent="0.3">
      <c r="B14" s="80">
        <v>16</v>
      </c>
      <c r="C14" s="80">
        <v>20</v>
      </c>
      <c r="D14" s="80">
        <v>1.4999999999999999E-2</v>
      </c>
      <c r="E14" s="80">
        <v>4.0000000000000001E-3</v>
      </c>
      <c r="F14" s="80">
        <f t="shared" si="6"/>
        <v>2.4</v>
      </c>
      <c r="G14" s="80">
        <f t="shared" si="7"/>
        <v>0.8</v>
      </c>
      <c r="H14" s="80">
        <f t="shared" si="8"/>
        <v>3.2</v>
      </c>
      <c r="J14" s="80">
        <v>16</v>
      </c>
      <c r="K14" s="87">
        <f t="shared" ref="K11:K17" si="9">$K$9</f>
        <v>1.4499999999999999E-3</v>
      </c>
      <c r="L14" s="88">
        <f t="shared" si="3"/>
        <v>1.8</v>
      </c>
      <c r="M14" s="80">
        <f>H14</f>
        <v>3.2</v>
      </c>
      <c r="N14" s="84">
        <f t="shared" si="4"/>
        <v>2.1799999999999996E-2</v>
      </c>
      <c r="O14" s="85">
        <v>15.989000000000001</v>
      </c>
      <c r="P14" s="85">
        <v>16.015999999999998</v>
      </c>
      <c r="Q14" s="85">
        <f>J14-O14</f>
        <v>1.0999999999999233E-2</v>
      </c>
      <c r="R14" s="85">
        <f>P14-J14</f>
        <v>1.5999999999998238E-2</v>
      </c>
      <c r="S14" s="85">
        <f>MAX(Q14:R14)</f>
        <v>1.5999999999998238E-2</v>
      </c>
      <c r="T14" s="80" t="str">
        <f>IF(S14&gt;N14,"OUT OF RANGE!","OK")</f>
        <v>OK</v>
      </c>
      <c r="U14" s="86">
        <f t="shared" si="5"/>
        <v>1.5624999999999999E-3</v>
      </c>
    </row>
    <row r="15" spans="2:21" x14ac:dyDescent="0.3">
      <c r="B15" s="80">
        <v>30</v>
      </c>
      <c r="C15" s="80">
        <v>200</v>
      </c>
      <c r="D15" s="80">
        <v>1.4999999999999999E-2</v>
      </c>
      <c r="E15" s="80">
        <v>3.0000000000000001E-3</v>
      </c>
      <c r="F15" s="80">
        <f t="shared" si="6"/>
        <v>4.5</v>
      </c>
      <c r="G15" s="80">
        <f t="shared" si="7"/>
        <v>6</v>
      </c>
      <c r="H15" s="80">
        <f t="shared" si="8"/>
        <v>10.5</v>
      </c>
      <c r="J15" s="80">
        <v>30</v>
      </c>
      <c r="K15" s="87">
        <f t="shared" si="9"/>
        <v>1.4499999999999999E-3</v>
      </c>
      <c r="L15" s="88">
        <f t="shared" si="3"/>
        <v>1.8</v>
      </c>
      <c r="M15" s="80">
        <f>H15</f>
        <v>10.5</v>
      </c>
      <c r="N15" s="84">
        <f t="shared" si="4"/>
        <v>3.4799999999999998E-2</v>
      </c>
      <c r="O15" s="85">
        <v>29.983000000000001</v>
      </c>
      <c r="P15" s="85">
        <v>30.030999999999999</v>
      </c>
      <c r="Q15" s="85">
        <f>J15-O15</f>
        <v>1.699999999999946E-2</v>
      </c>
      <c r="R15" s="85">
        <f>P15-J15</f>
        <v>3.0999999999998806E-2</v>
      </c>
      <c r="S15" s="85">
        <f>MAX(Q15:R15)</f>
        <v>3.0999999999998806E-2</v>
      </c>
      <c r="T15" s="80" t="str">
        <f>IF(S15&gt;N15,"OUT OF RANGE!","OK")</f>
        <v>OK</v>
      </c>
      <c r="U15" s="86">
        <f t="shared" si="5"/>
        <v>1.5100000000000001E-3</v>
      </c>
    </row>
    <row r="16" spans="2:21" x14ac:dyDescent="0.3">
      <c r="B16" s="80">
        <v>35</v>
      </c>
      <c r="C16" s="80">
        <v>200</v>
      </c>
      <c r="D16" s="80">
        <v>1.4999999999999999E-2</v>
      </c>
      <c r="E16" s="80">
        <v>3.0000000000000001E-3</v>
      </c>
      <c r="F16" s="80">
        <f t="shared" si="6"/>
        <v>5.25</v>
      </c>
      <c r="G16" s="80">
        <f t="shared" si="7"/>
        <v>6</v>
      </c>
      <c r="H16" s="80">
        <f t="shared" si="8"/>
        <v>11.25</v>
      </c>
      <c r="J16" s="80">
        <v>35</v>
      </c>
      <c r="K16" s="87">
        <f t="shared" si="9"/>
        <v>1.4499999999999999E-3</v>
      </c>
      <c r="L16" s="88">
        <f t="shared" si="3"/>
        <v>1.8</v>
      </c>
      <c r="M16" s="80">
        <f>H16</f>
        <v>11.25</v>
      </c>
      <c r="N16" s="84">
        <f t="shared" si="4"/>
        <v>4.1300000000000003E-2</v>
      </c>
      <c r="O16" s="85">
        <v>34.997</v>
      </c>
      <c r="P16" s="85">
        <v>35.04</v>
      </c>
      <c r="Q16" s="85">
        <f>J16-O16</f>
        <v>3.0000000000001137E-3</v>
      </c>
      <c r="R16" s="85">
        <f>P16-J16</f>
        <v>3.9999999999999147E-2</v>
      </c>
      <c r="S16" s="85">
        <f>MAX(Q16:R16)</f>
        <v>3.9999999999999147E-2</v>
      </c>
      <c r="T16" s="80" t="str">
        <f>IF(S16&gt;N16,"OUT OF RANGE!","OK")</f>
        <v>OK</v>
      </c>
      <c r="U16" s="86">
        <f t="shared" si="5"/>
        <v>1.5014285714285713E-3</v>
      </c>
    </row>
    <row r="17" spans="2:21" x14ac:dyDescent="0.3">
      <c r="B17" s="80">
        <v>48</v>
      </c>
      <c r="C17" s="80">
        <v>200</v>
      </c>
      <c r="D17" s="80">
        <v>1.4999999999999999E-2</v>
      </c>
      <c r="E17" s="80">
        <v>3.0000000000000001E-3</v>
      </c>
      <c r="F17" s="80">
        <f t="shared" si="6"/>
        <v>7.1999999999999993</v>
      </c>
      <c r="G17" s="80">
        <f t="shared" si="7"/>
        <v>6</v>
      </c>
      <c r="H17" s="80">
        <f t="shared" si="8"/>
        <v>13.2</v>
      </c>
      <c r="J17" s="80">
        <v>48</v>
      </c>
      <c r="K17" s="87">
        <f t="shared" si="9"/>
        <v>1.4499999999999999E-3</v>
      </c>
      <c r="L17" s="88">
        <f t="shared" si="3"/>
        <v>1.8</v>
      </c>
      <c r="M17" s="80">
        <f>H17</f>
        <v>13.2</v>
      </c>
      <c r="N17" s="84">
        <f t="shared" si="4"/>
        <v>5.8199999999999988E-2</v>
      </c>
      <c r="O17" s="85">
        <v>47.970999999999997</v>
      </c>
      <c r="P17" s="85">
        <v>48.057000000000002</v>
      </c>
      <c r="Q17" s="85">
        <f>J17-O17</f>
        <v>2.9000000000003467E-2</v>
      </c>
      <c r="R17" s="85">
        <f>P17-J17</f>
        <v>5.700000000000216E-2</v>
      </c>
      <c r="S17" s="85">
        <f>MAX(Q17:R17)</f>
        <v>5.700000000000216E-2</v>
      </c>
      <c r="T17" s="80" t="str">
        <f>IF(S17&gt;N17,"OUT OF RANGE!","OK")</f>
        <v>OK</v>
      </c>
      <c r="U17" s="86">
        <f t="shared" si="5"/>
        <v>1.4874999999999999E-3</v>
      </c>
    </row>
    <row r="20" spans="2:21" x14ac:dyDescent="0.3">
      <c r="K20" s="82" t="s">
        <v>707</v>
      </c>
      <c r="L20" s="82"/>
      <c r="M20" s="90" t="s">
        <v>712</v>
      </c>
      <c r="N20" s="89" t="s">
        <v>713</v>
      </c>
    </row>
    <row r="21" spans="2:21" x14ac:dyDescent="0.3">
      <c r="K21" s="86">
        <v>1.5E-3</v>
      </c>
      <c r="L21" s="80">
        <v>2</v>
      </c>
      <c r="M21" s="51">
        <f>(N21*K21+L21/1000)/N21</f>
        <v>2E-3</v>
      </c>
      <c r="N21" s="91">
        <v>4</v>
      </c>
    </row>
  </sheetData>
  <mergeCells count="4">
    <mergeCell ref="B2:U2"/>
    <mergeCell ref="J6:U6"/>
    <mergeCell ref="B6:H6"/>
    <mergeCell ref="K20:L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C9BAE-AA58-4431-A8DB-42F9E6D368F9}">
  <dimension ref="B2:U20"/>
  <sheetViews>
    <sheetView workbookViewId="0"/>
  </sheetViews>
  <sheetFormatPr defaultRowHeight="14.4" x14ac:dyDescent="0.3"/>
  <cols>
    <col min="2" max="2" width="9.21875" customWidth="1"/>
    <col min="3" max="3" width="6.21875" bestFit="1" customWidth="1"/>
    <col min="4" max="4" width="21.88671875" bestFit="1" customWidth="1"/>
    <col min="5" max="5" width="21.109375" bestFit="1" customWidth="1"/>
    <col min="6" max="6" width="14.109375" bestFit="1" customWidth="1"/>
    <col min="7" max="7" width="15.44140625" bestFit="1" customWidth="1"/>
    <col min="8" max="8" width="14.5546875" bestFit="1" customWidth="1"/>
    <col min="10" max="10" width="7.77734375" bestFit="1" customWidth="1"/>
    <col min="11" max="11" width="9.33203125" bestFit="1" customWidth="1"/>
    <col min="12" max="12" width="15.44140625" bestFit="1" customWidth="1"/>
    <col min="13" max="13" width="19.77734375" bestFit="1" customWidth="1"/>
    <col min="14" max="14" width="12.33203125" bestFit="1" customWidth="1"/>
    <col min="15" max="15" width="13.33203125" bestFit="1" customWidth="1"/>
    <col min="16" max="16" width="13.6640625" bestFit="1" customWidth="1"/>
    <col min="19" max="19" width="10.5546875" bestFit="1" customWidth="1"/>
    <col min="20" max="20" width="14.33203125" bestFit="1" customWidth="1"/>
    <col min="21" max="21" width="8.6640625" bestFit="1" customWidth="1"/>
  </cols>
  <sheetData>
    <row r="2" spans="2:21" x14ac:dyDescent="0.3">
      <c r="B2" s="82" t="s">
        <v>690</v>
      </c>
      <c r="C2" s="82"/>
      <c r="D2" s="82"/>
      <c r="E2" s="82"/>
      <c r="F2" s="82"/>
      <c r="G2" s="82"/>
      <c r="H2" s="82"/>
      <c r="I2" s="82"/>
      <c r="J2" s="82"/>
      <c r="K2" s="82"/>
      <c r="L2" s="82"/>
      <c r="M2" s="82"/>
      <c r="N2" s="82"/>
      <c r="O2" s="82"/>
      <c r="P2" s="82"/>
      <c r="Q2" s="82"/>
      <c r="R2" s="82"/>
      <c r="S2" s="82"/>
      <c r="T2" s="82"/>
      <c r="U2" s="82"/>
    </row>
    <row r="3" spans="2:21" x14ac:dyDescent="0.3">
      <c r="B3" s="83"/>
      <c r="C3" s="83"/>
      <c r="D3" s="83"/>
      <c r="E3" s="83"/>
      <c r="F3" s="83"/>
      <c r="G3" s="83"/>
      <c r="H3" s="83"/>
      <c r="I3" s="83"/>
      <c r="J3" s="83"/>
      <c r="K3" s="83"/>
      <c r="L3" s="83"/>
      <c r="M3" s="83"/>
      <c r="N3" s="83"/>
      <c r="O3" s="83"/>
      <c r="P3" s="83"/>
      <c r="Q3" s="83"/>
      <c r="R3" s="83"/>
      <c r="S3" s="83"/>
      <c r="T3" s="83"/>
      <c r="U3" s="83"/>
    </row>
    <row r="4" spans="2:21" x14ac:dyDescent="0.3">
      <c r="B4" t="s">
        <v>691</v>
      </c>
      <c r="C4" s="83"/>
      <c r="D4" s="83"/>
      <c r="E4" s="83"/>
      <c r="F4" s="83"/>
      <c r="G4" s="83"/>
      <c r="H4" s="83"/>
      <c r="I4" s="83"/>
      <c r="J4" s="83"/>
      <c r="K4" s="83"/>
      <c r="L4" s="83"/>
      <c r="M4" s="83"/>
      <c r="N4" s="83"/>
      <c r="O4" s="83"/>
      <c r="P4" s="83"/>
      <c r="Q4" s="83"/>
      <c r="R4" s="83"/>
      <c r="S4" s="83"/>
      <c r="T4" s="83"/>
      <c r="U4" s="83"/>
    </row>
    <row r="6" spans="2:21" x14ac:dyDescent="0.3">
      <c r="B6" s="82" t="s">
        <v>706</v>
      </c>
      <c r="C6" s="82"/>
      <c r="D6" s="82"/>
      <c r="E6" s="82"/>
      <c r="F6" s="82"/>
      <c r="G6" s="82"/>
      <c r="H6" s="82"/>
      <c r="J6" s="82" t="s">
        <v>705</v>
      </c>
      <c r="K6" s="82"/>
      <c r="L6" s="82"/>
      <c r="M6" s="82"/>
      <c r="N6" s="82"/>
      <c r="O6" s="82"/>
      <c r="P6" s="82"/>
      <c r="Q6" s="82"/>
      <c r="R6" s="82"/>
      <c r="S6" s="82"/>
      <c r="T6" s="82"/>
      <c r="U6" s="82"/>
    </row>
    <row r="8" spans="2:21" x14ac:dyDescent="0.3">
      <c r="B8" s="81" t="s">
        <v>694</v>
      </c>
      <c r="C8" s="81" t="s">
        <v>689</v>
      </c>
      <c r="D8" s="81" t="s">
        <v>692</v>
      </c>
      <c r="E8" s="81" t="s">
        <v>693</v>
      </c>
      <c r="F8" s="81" t="s">
        <v>695</v>
      </c>
      <c r="G8" s="81" t="s">
        <v>688</v>
      </c>
      <c r="H8" s="81" t="s">
        <v>696</v>
      </c>
      <c r="J8" s="81" t="s">
        <v>694</v>
      </c>
      <c r="K8" s="81" t="s">
        <v>687</v>
      </c>
      <c r="L8" s="81" t="s">
        <v>688</v>
      </c>
      <c r="M8" s="81" t="s">
        <v>697</v>
      </c>
      <c r="N8" s="81" t="s">
        <v>703</v>
      </c>
      <c r="O8" s="81" t="s">
        <v>698</v>
      </c>
      <c r="P8" s="81" t="s">
        <v>699</v>
      </c>
      <c r="Q8" s="81" t="s">
        <v>700</v>
      </c>
      <c r="R8" s="81" t="s">
        <v>700</v>
      </c>
      <c r="S8" s="81" t="s">
        <v>701</v>
      </c>
      <c r="T8" s="81" t="s">
        <v>702</v>
      </c>
      <c r="U8" s="81" t="s">
        <v>704</v>
      </c>
    </row>
    <row r="9" spans="2:21" x14ac:dyDescent="0.3">
      <c r="B9" s="80">
        <v>0.1</v>
      </c>
      <c r="C9" s="80">
        <v>0.2</v>
      </c>
      <c r="D9" s="80">
        <v>1.4999999999999999E-2</v>
      </c>
      <c r="E9" s="80">
        <v>4.0000000000000001E-3</v>
      </c>
      <c r="F9" s="80">
        <f t="shared" ref="F9:G17" si="0">B9*D9*10</f>
        <v>1.4999999999999999E-2</v>
      </c>
      <c r="G9" s="80">
        <f t="shared" si="0"/>
        <v>8.0000000000000002E-3</v>
      </c>
      <c r="H9" s="80">
        <f t="shared" ref="H9:H11" si="1">F9+G9</f>
        <v>2.3E-2</v>
      </c>
      <c r="J9" s="80">
        <v>0.1</v>
      </c>
      <c r="K9" s="87">
        <v>1.4E-2</v>
      </c>
      <c r="L9" s="88">
        <v>5.9</v>
      </c>
      <c r="M9" s="80">
        <f>H9</f>
        <v>2.3E-2</v>
      </c>
      <c r="N9" s="84">
        <f>J9*K9+L9/1000-M9/1000</f>
        <v>7.2770000000000013E-3</v>
      </c>
      <c r="O9" s="85">
        <v>9.2999999999999999E-2</v>
      </c>
      <c r="P9" s="85">
        <v>0.106</v>
      </c>
      <c r="Q9" s="85">
        <f>J9-O9</f>
        <v>7.0000000000000062E-3</v>
      </c>
      <c r="R9" s="85">
        <f>P9-J9</f>
        <v>5.9999999999999915E-3</v>
      </c>
      <c r="S9" s="85">
        <f>MAX(Q9:R9)</f>
        <v>7.0000000000000062E-3</v>
      </c>
      <c r="T9" s="80" t="str">
        <f>IF(S9&gt;N9,"OUT OF RANGE!","OK")</f>
        <v>OK</v>
      </c>
      <c r="U9" s="86">
        <f>(J9*K9+L9/1000)/J9</f>
        <v>7.3000000000000009E-2</v>
      </c>
    </row>
    <row r="10" spans="2:21" x14ac:dyDescent="0.3">
      <c r="B10" s="80">
        <v>2.4940000000000002</v>
      </c>
      <c r="C10" s="80">
        <v>20</v>
      </c>
      <c r="D10" s="80">
        <v>1.4999999999999999E-2</v>
      </c>
      <c r="E10" s="80">
        <v>4.0000000000000001E-3</v>
      </c>
      <c r="F10" s="80">
        <f t="shared" si="0"/>
        <v>0.37409999999999999</v>
      </c>
      <c r="G10" s="80">
        <f t="shared" si="0"/>
        <v>0.8</v>
      </c>
      <c r="H10" s="80">
        <f t="shared" si="1"/>
        <v>1.1741000000000001</v>
      </c>
      <c r="J10" s="80">
        <v>2.4940000000000002</v>
      </c>
      <c r="K10" s="87">
        <f t="shared" ref="K10:K13" si="2">$K$9</f>
        <v>1.4E-2</v>
      </c>
      <c r="L10" s="88">
        <f t="shared" ref="L10:L14" si="3">$L$9</f>
        <v>5.9</v>
      </c>
      <c r="M10" s="80">
        <f>H10</f>
        <v>1.1741000000000001</v>
      </c>
      <c r="N10" s="84">
        <f t="shared" ref="N10:N12" si="4">J10*K10+L10/1000-M10/1000</f>
        <v>3.9641900000000008E-2</v>
      </c>
      <c r="O10" s="85">
        <v>2.4569999999999999</v>
      </c>
      <c r="P10" s="85">
        <v>2.4940000000000002</v>
      </c>
      <c r="Q10" s="85">
        <f>J10-O10</f>
        <v>3.7000000000000366E-2</v>
      </c>
      <c r="R10" s="85">
        <f>P10-J10</f>
        <v>0</v>
      </c>
      <c r="S10" s="85">
        <f>MAX(Q10:R10)</f>
        <v>3.7000000000000366E-2</v>
      </c>
      <c r="T10" s="80" t="str">
        <f>IF(S10&gt;N10,"OUT OF RANGE!","OK")</f>
        <v>OK</v>
      </c>
      <c r="U10" s="86">
        <f t="shared" ref="U10:U13" si="5">(J10*K10+L10/1000)/J10</f>
        <v>1.6365677626303129E-2</v>
      </c>
    </row>
    <row r="11" spans="2:21" x14ac:dyDescent="0.3">
      <c r="B11" s="80">
        <v>2.5</v>
      </c>
      <c r="C11" s="80">
        <v>20</v>
      </c>
      <c r="D11" s="80">
        <v>1.4999999999999999E-2</v>
      </c>
      <c r="E11" s="80">
        <v>3.0000000000000001E-3</v>
      </c>
      <c r="F11" s="80">
        <f t="shared" si="0"/>
        <v>0.375</v>
      </c>
      <c r="G11" s="80">
        <f t="shared" si="0"/>
        <v>0.6</v>
      </c>
      <c r="H11" s="80">
        <f t="shared" si="1"/>
        <v>0.97499999999999998</v>
      </c>
      <c r="J11" s="80">
        <v>2.5</v>
      </c>
      <c r="K11" s="87">
        <f t="shared" si="2"/>
        <v>1.4E-2</v>
      </c>
      <c r="L11" s="88">
        <f t="shared" si="3"/>
        <v>5.9</v>
      </c>
      <c r="M11" s="80">
        <f>H11</f>
        <v>0.97499999999999998</v>
      </c>
      <c r="N11" s="84">
        <f t="shared" si="4"/>
        <v>3.9925000000000009E-2</v>
      </c>
      <c r="O11" s="85">
        <v>2.48</v>
      </c>
      <c r="P11" s="85">
        <v>2.5</v>
      </c>
      <c r="Q11" s="85">
        <f>J11-O11</f>
        <v>2.0000000000000018E-2</v>
      </c>
      <c r="R11" s="85">
        <f>P11-J11</f>
        <v>0</v>
      </c>
      <c r="S11" s="85">
        <f>MAX(Q11:R11)</f>
        <v>2.0000000000000018E-2</v>
      </c>
      <c r="T11" s="80" t="str">
        <f>IF(S11&gt;N11,"OUT OF RANGE!","OK")</f>
        <v>OK</v>
      </c>
      <c r="U11" s="86">
        <f t="shared" si="5"/>
        <v>1.6360000000000003E-2</v>
      </c>
    </row>
    <row r="12" spans="2:21" x14ac:dyDescent="0.3">
      <c r="B12" s="80">
        <v>3.907</v>
      </c>
      <c r="C12" s="80">
        <v>20</v>
      </c>
      <c r="D12" s="80">
        <v>1.4999999999999999E-2</v>
      </c>
      <c r="E12" s="80">
        <v>3.0000000000000001E-3</v>
      </c>
      <c r="F12" s="80">
        <f>B12*D12*10</f>
        <v>0.58604999999999996</v>
      </c>
      <c r="G12" s="80">
        <f>C12*E12*10</f>
        <v>0.6</v>
      </c>
      <c r="H12" s="80">
        <f>F12+G12</f>
        <v>1.1860499999999998</v>
      </c>
      <c r="J12" s="80">
        <v>3.907</v>
      </c>
      <c r="K12" s="87">
        <f>$K$9</f>
        <v>1.4E-2</v>
      </c>
      <c r="L12" s="88">
        <f t="shared" si="3"/>
        <v>5.9</v>
      </c>
      <c r="M12" s="80">
        <f>H12</f>
        <v>1.1860499999999998</v>
      </c>
      <c r="N12" s="84">
        <f t="shared" si="4"/>
        <v>5.9411950000000005E-2</v>
      </c>
      <c r="O12" s="85">
        <v>3.907</v>
      </c>
      <c r="P12" s="85">
        <v>3.9089999999999998</v>
      </c>
      <c r="Q12" s="85">
        <f>J12-O12</f>
        <v>0</v>
      </c>
      <c r="R12" s="85">
        <f>P12-J12</f>
        <v>1.9999999999997797E-3</v>
      </c>
      <c r="S12" s="85">
        <f>MAX(Q12:R12)</f>
        <v>1.9999999999997797E-3</v>
      </c>
      <c r="T12" s="80" t="str">
        <f>IF(S12&gt;N12,"OUT OF RANGE!","OK")</f>
        <v>OK</v>
      </c>
      <c r="U12" s="86">
        <f t="shared" si="5"/>
        <v>1.5510110058868699E-2</v>
      </c>
    </row>
    <row r="13" spans="2:21" x14ac:dyDescent="0.3">
      <c r="B13" s="80">
        <v>3.9359999999999999</v>
      </c>
      <c r="C13" s="80">
        <v>20</v>
      </c>
      <c r="D13" s="80">
        <v>1.4999999999999999E-2</v>
      </c>
      <c r="E13" s="80">
        <v>4.0000000000000001E-3</v>
      </c>
      <c r="F13" s="80">
        <f t="shared" ref="F13:G17" si="6">B13*D13*10</f>
        <v>0.59039999999999992</v>
      </c>
      <c r="G13" s="80">
        <f t="shared" si="6"/>
        <v>0.8</v>
      </c>
      <c r="H13" s="80">
        <f t="shared" ref="H13:H17" si="7">F13+G13</f>
        <v>1.3904000000000001</v>
      </c>
      <c r="J13" s="80">
        <v>3.9359999999999999</v>
      </c>
      <c r="K13" s="87">
        <f t="shared" si="2"/>
        <v>1.4E-2</v>
      </c>
      <c r="L13" s="88">
        <f t="shared" si="3"/>
        <v>5.9</v>
      </c>
      <c r="M13" s="80">
        <f>H12</f>
        <v>1.1860499999999998</v>
      </c>
      <c r="N13" s="84">
        <f>J13*K13+L13/1000-M13/1000</f>
        <v>5.9817950000000002E-2</v>
      </c>
      <c r="O13" s="85">
        <v>3.9079999999999999</v>
      </c>
      <c r="P13" s="85">
        <v>3.9359999999999999</v>
      </c>
      <c r="Q13" s="85">
        <f>J13-O13</f>
        <v>2.8000000000000025E-2</v>
      </c>
      <c r="R13" s="85">
        <f>P13-J13</f>
        <v>0</v>
      </c>
      <c r="S13" s="85">
        <f>MAX(Q13:R13)</f>
        <v>2.8000000000000025E-2</v>
      </c>
      <c r="T13" s="80" t="str">
        <f>IF(S13&gt;N13,"OUT OF RANGE!","OK")</f>
        <v>OK</v>
      </c>
      <c r="U13" s="86">
        <f>(J13*K13+L13/1000)/J13</f>
        <v>1.5498983739837399E-2</v>
      </c>
    </row>
    <row r="14" spans="2:21" x14ac:dyDescent="0.3">
      <c r="B14" s="80">
        <v>3.9420000000000002</v>
      </c>
      <c r="C14" s="80">
        <v>20</v>
      </c>
      <c r="D14" s="80">
        <v>1.4999999999999999E-2</v>
      </c>
      <c r="E14" s="80">
        <v>4.0000000000000001E-3</v>
      </c>
      <c r="F14" s="80">
        <f t="shared" si="6"/>
        <v>0.59130000000000005</v>
      </c>
      <c r="G14" s="80">
        <f t="shared" si="6"/>
        <v>0.8</v>
      </c>
      <c r="H14" s="80">
        <f t="shared" si="7"/>
        <v>1.3913000000000002</v>
      </c>
      <c r="J14" s="80">
        <v>3.9420000000000002</v>
      </c>
      <c r="K14" s="87">
        <f>$K$9</f>
        <v>1.4E-2</v>
      </c>
      <c r="L14" s="88">
        <f t="shared" si="3"/>
        <v>5.9</v>
      </c>
      <c r="M14" s="80">
        <f>H13</f>
        <v>1.3904000000000001</v>
      </c>
      <c r="N14" s="84">
        <f>J14*K14+L14/1000-M14/1000</f>
        <v>5.9697600000000003E-2</v>
      </c>
      <c r="O14" s="85">
        <v>3.883</v>
      </c>
      <c r="P14" s="85">
        <v>3.9420000000000002</v>
      </c>
      <c r="Q14" s="85">
        <f>J14-O14</f>
        <v>5.9000000000000163E-2</v>
      </c>
      <c r="R14" s="85">
        <f>P14-J14</f>
        <v>0</v>
      </c>
      <c r="S14" s="85">
        <f>MAX(Q14:R14)</f>
        <v>5.9000000000000163E-2</v>
      </c>
      <c r="T14" s="80" t="str">
        <f>IF(S14&gt;N14,"OUT OF RANGE!","OK")</f>
        <v>OK</v>
      </c>
      <c r="U14" s="86">
        <f>(J14*K14+L14/1000)/J14</f>
        <v>1.5496702181633688E-2</v>
      </c>
    </row>
    <row r="15" spans="2:21" x14ac:dyDescent="0.3">
      <c r="B15" s="80">
        <v>4.9489999999999998</v>
      </c>
      <c r="C15" s="80">
        <v>20</v>
      </c>
      <c r="D15" s="80">
        <v>1.4999999999999999E-2</v>
      </c>
      <c r="E15" s="80">
        <v>3.0000000000000001E-3</v>
      </c>
      <c r="F15" s="80">
        <f t="shared" si="6"/>
        <v>0.74234999999999995</v>
      </c>
      <c r="G15" s="80">
        <f t="shared" si="6"/>
        <v>0.6</v>
      </c>
      <c r="H15" s="80">
        <f t="shared" si="7"/>
        <v>1.3423499999999999</v>
      </c>
      <c r="J15" s="80">
        <v>4.9489999999999998</v>
      </c>
      <c r="K15" s="87">
        <f>K14</f>
        <v>1.4E-2</v>
      </c>
      <c r="L15" s="88">
        <f>L14</f>
        <v>5.9</v>
      </c>
      <c r="M15" s="80">
        <f>H15</f>
        <v>1.3423499999999999</v>
      </c>
      <c r="N15" s="84">
        <f t="shared" ref="N15:N16" si="8">J15*K15+L15/1000-M15/1000</f>
        <v>7.3843649999999997E-2</v>
      </c>
      <c r="O15" s="85">
        <v>4.9459999999999997</v>
      </c>
      <c r="P15" s="85">
        <v>4.9580000000000002</v>
      </c>
      <c r="Q15" s="85">
        <f>J15-O15</f>
        <v>3.0000000000001137E-3</v>
      </c>
      <c r="R15" s="85">
        <f>P15-J15</f>
        <v>9.0000000000003411E-3</v>
      </c>
      <c r="S15" s="85">
        <f>MAX(Q15:R15)</f>
        <v>9.0000000000003411E-3</v>
      </c>
      <c r="T15" s="80" t="str">
        <f>IF(S15&gt;N15,"OUT OF RANGE!","OK")</f>
        <v>OK</v>
      </c>
      <c r="U15" s="86">
        <f t="shared" ref="U15:U16" si="9">(J15*K15+L15/1000)/J15</f>
        <v>1.5192160032329765E-2</v>
      </c>
    </row>
    <row r="16" spans="2:21" x14ac:dyDescent="0.3">
      <c r="B16" s="80">
        <v>4.9969999999999999</v>
      </c>
      <c r="C16" s="80">
        <v>20</v>
      </c>
      <c r="D16" s="80">
        <v>1.4999999999999999E-2</v>
      </c>
      <c r="E16" s="80">
        <v>3.0000000000000001E-3</v>
      </c>
      <c r="F16" s="80">
        <f t="shared" si="6"/>
        <v>0.74954999999999994</v>
      </c>
      <c r="G16" s="80">
        <f t="shared" si="6"/>
        <v>0.6</v>
      </c>
      <c r="H16" s="80">
        <f t="shared" si="7"/>
        <v>1.3495499999999998</v>
      </c>
      <c r="J16" s="80">
        <v>4.9969999999999999</v>
      </c>
      <c r="K16" s="87">
        <f>$K$9</f>
        <v>1.4E-2</v>
      </c>
      <c r="L16" s="88">
        <f t="shared" ref="L11:L17" si="10">$L$9</f>
        <v>5.9</v>
      </c>
      <c r="M16" s="80">
        <f>H16</f>
        <v>1.3495499999999998</v>
      </c>
      <c r="N16" s="84">
        <f t="shared" si="8"/>
        <v>7.4508450000000004E-2</v>
      </c>
      <c r="O16" s="85">
        <v>4.9889999999999999</v>
      </c>
      <c r="P16" s="85">
        <v>4.9969999999999999</v>
      </c>
      <c r="Q16" s="85">
        <f>J16-O16</f>
        <v>8.0000000000000071E-3</v>
      </c>
      <c r="R16" s="85">
        <f>P16-J16</f>
        <v>0</v>
      </c>
      <c r="S16" s="85">
        <f>MAX(Q16:R16)</f>
        <v>8.0000000000000071E-3</v>
      </c>
      <c r="T16" s="80" t="str">
        <f>IF(S16&gt;N16,"OUT OF RANGE!","OK")</f>
        <v>OK</v>
      </c>
      <c r="U16" s="86">
        <f t="shared" si="9"/>
        <v>1.5180708425055036E-2</v>
      </c>
    </row>
    <row r="17" spans="2:21" x14ac:dyDescent="0.3">
      <c r="B17" s="80">
        <v>15</v>
      </c>
      <c r="C17" s="80">
        <v>20</v>
      </c>
      <c r="D17" s="80">
        <v>1.4999999999999999E-2</v>
      </c>
      <c r="E17" s="80">
        <v>3.0000000000000001E-3</v>
      </c>
      <c r="F17" s="80">
        <f t="shared" si="6"/>
        <v>2.25</v>
      </c>
      <c r="G17" s="80">
        <f t="shared" si="6"/>
        <v>0.6</v>
      </c>
      <c r="H17" s="80">
        <f t="shared" si="7"/>
        <v>2.85</v>
      </c>
      <c r="J17" s="80">
        <v>15</v>
      </c>
      <c r="K17" s="87">
        <f>K16</f>
        <v>1.4E-2</v>
      </c>
      <c r="L17" s="88">
        <f>L16</f>
        <v>5.9</v>
      </c>
      <c r="M17" s="80">
        <f>H17</f>
        <v>2.85</v>
      </c>
      <c r="N17" s="84">
        <f t="shared" ref="N17" si="11">J17*K17+L17/1000-M17/1000</f>
        <v>0.21304999999999999</v>
      </c>
      <c r="O17" s="85">
        <v>14.866</v>
      </c>
      <c r="P17" s="85">
        <v>15</v>
      </c>
      <c r="Q17" s="85">
        <f>J17-O17</f>
        <v>0.13400000000000034</v>
      </c>
      <c r="R17" s="85">
        <f>P17-J17</f>
        <v>0</v>
      </c>
      <c r="S17" s="85">
        <f>MAX(Q17:R17)</f>
        <v>0.13400000000000034</v>
      </c>
      <c r="T17" s="80" t="str">
        <f>IF(S17&gt;N17,"OUT OF RANGE!","OK")</f>
        <v>OK</v>
      </c>
      <c r="U17" s="86">
        <f t="shared" ref="U17" si="12">(J17*K17+L17/1000)/J17</f>
        <v>1.4393333333333333E-2</v>
      </c>
    </row>
    <row r="19" spans="2:21" x14ac:dyDescent="0.3">
      <c r="K19" s="82" t="s">
        <v>707</v>
      </c>
      <c r="L19" s="82"/>
      <c r="M19" s="90" t="s">
        <v>712</v>
      </c>
      <c r="N19" s="89" t="s">
        <v>713</v>
      </c>
    </row>
    <row r="20" spans="2:21" x14ac:dyDescent="0.3">
      <c r="K20" s="86">
        <v>1.6E-2</v>
      </c>
      <c r="L20" s="80">
        <v>6</v>
      </c>
      <c r="M20" s="51">
        <f>(N20*K20+L20/1000)/N20</f>
        <v>1.7500000000000002E-2</v>
      </c>
      <c r="N20" s="91">
        <v>4</v>
      </c>
    </row>
  </sheetData>
  <mergeCells count="4">
    <mergeCell ref="B2:U2"/>
    <mergeCell ref="B6:H6"/>
    <mergeCell ref="J6:U6"/>
    <mergeCell ref="K19:L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F2ABF-9E86-4141-8C69-F08BDE572D21}">
  <dimension ref="B2:U23"/>
  <sheetViews>
    <sheetView topLeftCell="E1" workbookViewId="0"/>
  </sheetViews>
  <sheetFormatPr defaultRowHeight="14.4" x14ac:dyDescent="0.3"/>
  <cols>
    <col min="2" max="2" width="8.21875" customWidth="1"/>
    <col min="3" max="3" width="6.21875" bestFit="1" customWidth="1"/>
    <col min="4" max="4" width="21.88671875" bestFit="1" customWidth="1"/>
    <col min="5" max="5" width="21.109375" bestFit="1" customWidth="1"/>
    <col min="6" max="6" width="14.109375" bestFit="1" customWidth="1"/>
    <col min="7" max="7" width="15.44140625" bestFit="1" customWidth="1"/>
    <col min="8" max="8" width="14.5546875" bestFit="1" customWidth="1"/>
    <col min="10" max="10" width="7.77734375" bestFit="1" customWidth="1"/>
    <col min="11" max="11" width="9.33203125" bestFit="1" customWidth="1"/>
    <col min="12" max="12" width="15.44140625" bestFit="1" customWidth="1"/>
    <col min="13" max="13" width="19.77734375" bestFit="1" customWidth="1"/>
    <col min="14" max="14" width="12.33203125" bestFit="1" customWidth="1"/>
    <col min="15" max="15" width="13.33203125" bestFit="1" customWidth="1"/>
    <col min="16" max="16" width="13.6640625" bestFit="1" customWidth="1"/>
    <col min="19" max="19" width="10.5546875" bestFit="1" customWidth="1"/>
    <col min="20" max="20" width="14.33203125" bestFit="1" customWidth="1"/>
    <col min="21" max="21" width="8.6640625" bestFit="1" customWidth="1"/>
  </cols>
  <sheetData>
    <row r="2" spans="2:21" x14ac:dyDescent="0.3">
      <c r="B2" s="82" t="s">
        <v>690</v>
      </c>
      <c r="C2" s="82"/>
      <c r="D2" s="82"/>
      <c r="E2" s="82"/>
      <c r="F2" s="82"/>
      <c r="G2" s="82"/>
      <c r="H2" s="82"/>
      <c r="I2" s="82"/>
      <c r="J2" s="82"/>
      <c r="K2" s="82"/>
      <c r="L2" s="82"/>
      <c r="M2" s="82"/>
      <c r="N2" s="82"/>
      <c r="O2" s="82"/>
      <c r="P2" s="82"/>
      <c r="Q2" s="82"/>
      <c r="R2" s="82"/>
      <c r="S2" s="82"/>
      <c r="T2" s="82"/>
      <c r="U2" s="82"/>
    </row>
    <row r="3" spans="2:21" x14ac:dyDescent="0.3">
      <c r="B3" s="83"/>
      <c r="C3" s="83"/>
      <c r="D3" s="83"/>
      <c r="E3" s="83"/>
      <c r="F3" s="83"/>
      <c r="G3" s="83"/>
      <c r="H3" s="83"/>
      <c r="I3" s="83"/>
      <c r="J3" s="83"/>
      <c r="K3" s="83"/>
      <c r="L3" s="83"/>
      <c r="M3" s="83"/>
      <c r="N3" s="83"/>
      <c r="O3" s="83"/>
      <c r="P3" s="83"/>
      <c r="Q3" s="83"/>
      <c r="R3" s="83"/>
      <c r="S3" s="83"/>
      <c r="T3" s="83"/>
      <c r="U3" s="83"/>
    </row>
    <row r="4" spans="2:21" x14ac:dyDescent="0.3">
      <c r="B4" t="s">
        <v>691</v>
      </c>
      <c r="C4" s="83"/>
      <c r="D4" s="83"/>
      <c r="E4" s="83"/>
      <c r="F4" s="83"/>
      <c r="G4" s="83"/>
      <c r="H4" s="83"/>
      <c r="I4" s="83"/>
      <c r="J4" s="83"/>
      <c r="K4" s="83"/>
      <c r="L4" s="83"/>
      <c r="M4" s="83"/>
      <c r="N4" s="83"/>
      <c r="O4" s="83"/>
      <c r="P4" s="83"/>
      <c r="Q4" s="83"/>
      <c r="R4" s="83"/>
      <c r="S4" s="83"/>
      <c r="T4" s="83"/>
      <c r="U4" s="83"/>
    </row>
    <row r="6" spans="2:21" x14ac:dyDescent="0.3">
      <c r="B6" s="82" t="s">
        <v>706</v>
      </c>
      <c r="C6" s="82"/>
      <c r="D6" s="82"/>
      <c r="E6" s="82"/>
      <c r="F6" s="82"/>
      <c r="G6" s="82"/>
      <c r="H6" s="82"/>
      <c r="J6" s="82" t="s">
        <v>709</v>
      </c>
      <c r="K6" s="82"/>
      <c r="L6" s="82"/>
      <c r="M6" s="82"/>
      <c r="N6" s="82"/>
      <c r="O6" s="82"/>
      <c r="P6" s="82"/>
      <c r="Q6" s="82"/>
      <c r="R6" s="82"/>
      <c r="S6" s="82"/>
      <c r="T6" s="82"/>
      <c r="U6" s="82"/>
    </row>
    <row r="8" spans="2:21" x14ac:dyDescent="0.3">
      <c r="B8" s="81" t="s">
        <v>694</v>
      </c>
      <c r="C8" s="81" t="s">
        <v>689</v>
      </c>
      <c r="D8" s="81" t="s">
        <v>692</v>
      </c>
      <c r="E8" s="81" t="s">
        <v>693</v>
      </c>
      <c r="F8" s="81" t="s">
        <v>695</v>
      </c>
      <c r="G8" s="81" t="s">
        <v>688</v>
      </c>
      <c r="H8" s="81" t="s">
        <v>696</v>
      </c>
      <c r="J8" s="81" t="s">
        <v>694</v>
      </c>
      <c r="K8" s="81" t="s">
        <v>687</v>
      </c>
      <c r="L8" s="81" t="s">
        <v>688</v>
      </c>
      <c r="M8" s="81" t="s">
        <v>697</v>
      </c>
      <c r="N8" s="81" t="s">
        <v>703</v>
      </c>
      <c r="O8" s="81" t="s">
        <v>698</v>
      </c>
      <c r="P8" s="81" t="s">
        <v>699</v>
      </c>
      <c r="Q8" s="81" t="s">
        <v>700</v>
      </c>
      <c r="R8" s="81" t="s">
        <v>700</v>
      </c>
      <c r="S8" s="81" t="s">
        <v>701</v>
      </c>
      <c r="T8" s="81" t="s">
        <v>702</v>
      </c>
      <c r="U8" s="81" t="s">
        <v>704</v>
      </c>
    </row>
    <row r="9" spans="2:21" x14ac:dyDescent="0.3">
      <c r="B9" s="80">
        <v>0.1</v>
      </c>
      <c r="C9" s="80">
        <v>0.2</v>
      </c>
      <c r="D9" s="80">
        <v>1.4999999999999999E-2</v>
      </c>
      <c r="E9" s="80">
        <v>4.0000000000000001E-3</v>
      </c>
      <c r="F9" s="80">
        <f t="shared" ref="F9:G17" si="0">B9*D9*10</f>
        <v>1.4999999999999999E-2</v>
      </c>
      <c r="G9" s="80">
        <f t="shared" si="0"/>
        <v>8.0000000000000002E-3</v>
      </c>
      <c r="H9" s="80">
        <f t="shared" ref="H9:H11" si="1">F9+G9</f>
        <v>2.3E-2</v>
      </c>
      <c r="J9" s="80">
        <v>0.1</v>
      </c>
      <c r="K9" s="87">
        <v>2.3999999999999998E-3</v>
      </c>
      <c r="L9" s="88">
        <v>4.8</v>
      </c>
      <c r="M9" s="80">
        <f>H9</f>
        <v>2.3E-2</v>
      </c>
      <c r="N9" s="84">
        <f>J9*K9+L9/1000-M9/1000</f>
        <v>5.0169999999999998E-3</v>
      </c>
      <c r="O9" s="85">
        <v>9.5000000000000001E-2</v>
      </c>
      <c r="P9" s="85">
        <v>0.105</v>
      </c>
      <c r="Q9" s="85">
        <f>J9-O9</f>
        <v>5.0000000000000044E-3</v>
      </c>
      <c r="R9" s="85">
        <f>P9-J9</f>
        <v>4.9999999999999906E-3</v>
      </c>
      <c r="S9" s="85">
        <f>MAX(Q9:R9)</f>
        <v>5.0000000000000044E-3</v>
      </c>
      <c r="T9" s="80" t="str">
        <f>IF(S9&gt;N9,"OUT OF RANGE!","OK")</f>
        <v>OK</v>
      </c>
      <c r="U9" s="86">
        <f>(J9*K9+L9/1000)/J9</f>
        <v>5.0399999999999993E-2</v>
      </c>
    </row>
    <row r="10" spans="2:21" x14ac:dyDescent="0.3">
      <c r="B10" s="80">
        <v>4</v>
      </c>
      <c r="C10" s="80">
        <v>20</v>
      </c>
      <c r="D10" s="80">
        <v>1.4999999999999999E-2</v>
      </c>
      <c r="E10" s="80">
        <v>4.0000000000000001E-3</v>
      </c>
      <c r="F10" s="80">
        <f t="shared" si="0"/>
        <v>0.6</v>
      </c>
      <c r="G10" s="80">
        <f t="shared" si="0"/>
        <v>0.8</v>
      </c>
      <c r="H10" s="80">
        <f t="shared" si="1"/>
        <v>1.4</v>
      </c>
      <c r="J10" s="80">
        <v>4</v>
      </c>
      <c r="K10" s="87">
        <f t="shared" ref="K10:K13" si="2">$K$9</f>
        <v>2.3999999999999998E-3</v>
      </c>
      <c r="L10" s="88">
        <f t="shared" ref="L10:L16" si="3">$L$9</f>
        <v>4.8</v>
      </c>
      <c r="M10" s="80">
        <f>H10</f>
        <v>1.4</v>
      </c>
      <c r="N10" s="84">
        <f t="shared" ref="N10:N12" si="4">J10*K10+L10/1000-M10/1000</f>
        <v>1.2999999999999999E-2</v>
      </c>
      <c r="O10" s="85">
        <v>3.9940000000000002</v>
      </c>
      <c r="P10" s="85">
        <v>4.0129999999999999</v>
      </c>
      <c r="Q10" s="85">
        <f>J10-O10</f>
        <v>5.9999999999997833E-3</v>
      </c>
      <c r="R10" s="85">
        <f>P10-J10</f>
        <v>1.2999999999999901E-2</v>
      </c>
      <c r="S10" s="85">
        <f>MAX(Q10:R10)</f>
        <v>1.2999999999999901E-2</v>
      </c>
      <c r="T10" s="80" t="str">
        <f>IF(S10&gt;N10,"OUT OF RANGE!","OK")</f>
        <v>OK</v>
      </c>
      <c r="U10" s="86">
        <f t="shared" ref="U10:U13" si="5">(J10*K10+L10/1000)/J10</f>
        <v>3.5999999999999999E-3</v>
      </c>
    </row>
    <row r="11" spans="2:21" x14ac:dyDescent="0.3">
      <c r="B11" s="80"/>
      <c r="C11" s="80"/>
      <c r="D11" s="80"/>
      <c r="E11" s="80"/>
      <c r="F11" s="80"/>
      <c r="G11" s="80"/>
      <c r="H11" s="80"/>
    </row>
    <row r="12" spans="2:21" x14ac:dyDescent="0.3">
      <c r="B12" s="80"/>
      <c r="C12" s="80"/>
      <c r="D12" s="80"/>
      <c r="E12" s="80"/>
      <c r="F12" s="80"/>
      <c r="G12" s="80"/>
      <c r="H12" s="80"/>
      <c r="J12" s="82" t="s">
        <v>708</v>
      </c>
      <c r="K12" s="82"/>
      <c r="L12" s="82"/>
      <c r="M12" s="82"/>
      <c r="N12" s="82"/>
      <c r="O12" s="82"/>
      <c r="P12" s="82"/>
      <c r="Q12" s="82"/>
      <c r="R12" s="82"/>
      <c r="S12" s="82"/>
      <c r="T12" s="82"/>
      <c r="U12" s="82"/>
    </row>
    <row r="13" spans="2:21" x14ac:dyDescent="0.3">
      <c r="B13" s="80"/>
      <c r="C13" s="80"/>
      <c r="D13" s="80"/>
      <c r="E13" s="80"/>
      <c r="F13" s="80"/>
      <c r="G13" s="80"/>
      <c r="H13" s="80"/>
    </row>
    <row r="14" spans="2:21" x14ac:dyDescent="0.3">
      <c r="B14" s="80"/>
      <c r="C14" s="80"/>
      <c r="D14" s="80"/>
      <c r="E14" s="80"/>
      <c r="F14" s="80"/>
      <c r="G14" s="80"/>
      <c r="H14" s="80"/>
      <c r="J14" s="81" t="s">
        <v>694</v>
      </c>
      <c r="K14" s="81" t="s">
        <v>687</v>
      </c>
      <c r="L14" s="81" t="s">
        <v>688</v>
      </c>
      <c r="M14" s="81" t="s">
        <v>697</v>
      </c>
      <c r="N14" s="81" t="s">
        <v>703</v>
      </c>
      <c r="O14" s="81" t="s">
        <v>698</v>
      </c>
      <c r="P14" s="81" t="s">
        <v>699</v>
      </c>
      <c r="Q14" s="81" t="s">
        <v>700</v>
      </c>
      <c r="R14" s="81" t="s">
        <v>700</v>
      </c>
      <c r="S14" s="81" t="s">
        <v>701</v>
      </c>
      <c r="T14" s="81" t="s">
        <v>702</v>
      </c>
      <c r="U14" s="81" t="s">
        <v>704</v>
      </c>
    </row>
    <row r="15" spans="2:21" x14ac:dyDescent="0.3">
      <c r="B15" s="80">
        <v>0.1</v>
      </c>
      <c r="C15" s="80">
        <v>0.2</v>
      </c>
      <c r="D15" s="80">
        <v>1.4999999999999999E-2</v>
      </c>
      <c r="E15" s="80">
        <v>4.0000000000000001E-3</v>
      </c>
      <c r="F15" s="80">
        <f t="shared" ref="F15:F16" si="6">B15*D15*10</f>
        <v>1.4999999999999999E-2</v>
      </c>
      <c r="G15" s="80">
        <f t="shared" ref="G15:G16" si="7">C15*E15*10</f>
        <v>8.0000000000000002E-3</v>
      </c>
      <c r="H15" s="80">
        <f t="shared" ref="H15:H16" si="8">F15+G15</f>
        <v>2.3E-2</v>
      </c>
      <c r="J15" s="80">
        <v>0.1</v>
      </c>
      <c r="K15" s="87">
        <v>1.6999999999999999E-3</v>
      </c>
      <c r="L15" s="88">
        <v>2.8</v>
      </c>
      <c r="M15" s="80">
        <f>H15</f>
        <v>2.3E-2</v>
      </c>
      <c r="N15" s="84">
        <f t="shared" ref="N15:N17" si="9">J15*K15+L15/1000-M15/1000</f>
        <v>2.947E-3</v>
      </c>
      <c r="O15" s="85">
        <v>9.7600000000000006E-2</v>
      </c>
      <c r="P15" s="85">
        <v>0.1</v>
      </c>
      <c r="Q15" s="85">
        <f>J15-O15</f>
        <v>2.3999999999999994E-3</v>
      </c>
      <c r="R15" s="85">
        <f>P15-J15</f>
        <v>0</v>
      </c>
      <c r="S15" s="85">
        <f>MAX(Q15:R15)</f>
        <v>2.3999999999999994E-3</v>
      </c>
      <c r="T15" s="80" t="str">
        <f>IF(S15&gt;N15,"OUT OF RANGE!","OK")</f>
        <v>OK</v>
      </c>
      <c r="U15" s="86">
        <f t="shared" ref="U15:U17" si="10">(J15*K15+L15/1000)/J15</f>
        <v>2.9699999999999997E-2</v>
      </c>
    </row>
    <row r="16" spans="2:21" x14ac:dyDescent="0.3">
      <c r="B16" s="80">
        <v>4</v>
      </c>
      <c r="C16" s="80">
        <v>20</v>
      </c>
      <c r="D16" s="80">
        <v>1.4999999999999999E-2</v>
      </c>
      <c r="E16" s="80">
        <v>4.0000000000000001E-3</v>
      </c>
      <c r="F16" s="80">
        <f t="shared" si="6"/>
        <v>0.6</v>
      </c>
      <c r="G16" s="80">
        <f t="shared" si="7"/>
        <v>0.8</v>
      </c>
      <c r="H16" s="80">
        <f t="shared" si="8"/>
        <v>1.4</v>
      </c>
      <c r="J16" s="80">
        <v>4</v>
      </c>
      <c r="K16" s="87">
        <f>$K$15</f>
        <v>1.6999999999999999E-3</v>
      </c>
      <c r="L16" s="88">
        <f>$L$15</f>
        <v>2.8</v>
      </c>
      <c r="M16" s="80">
        <f>H16</f>
        <v>1.4</v>
      </c>
      <c r="N16" s="84">
        <f t="shared" si="9"/>
        <v>8.199999999999999E-3</v>
      </c>
      <c r="O16" s="85">
        <v>3.992</v>
      </c>
      <c r="P16" s="85">
        <v>4</v>
      </c>
      <c r="Q16" s="85">
        <f>J16-O16</f>
        <v>8.0000000000000071E-3</v>
      </c>
      <c r="R16" s="85">
        <f>P16-J16</f>
        <v>0</v>
      </c>
      <c r="S16" s="85">
        <f>MAX(Q16:R16)</f>
        <v>8.0000000000000071E-3</v>
      </c>
      <c r="T16" s="80" t="str">
        <f>IF(S16&gt;N16,"OUT OF RANGE!","OK")</f>
        <v>OK</v>
      </c>
      <c r="U16" s="86">
        <f t="shared" si="10"/>
        <v>2.3999999999999998E-3</v>
      </c>
    </row>
    <row r="17" spans="2:14" x14ac:dyDescent="0.3">
      <c r="B17" s="80"/>
      <c r="C17" s="80"/>
      <c r="D17" s="80"/>
      <c r="E17" s="80"/>
      <c r="F17" s="80"/>
      <c r="G17" s="80"/>
      <c r="H17" s="80"/>
    </row>
    <row r="19" spans="2:14" x14ac:dyDescent="0.3">
      <c r="K19" s="82" t="s">
        <v>710</v>
      </c>
      <c r="L19" s="82"/>
      <c r="M19" s="90" t="s">
        <v>712</v>
      </c>
      <c r="N19" s="89" t="s">
        <v>713</v>
      </c>
    </row>
    <row r="20" spans="2:14" x14ac:dyDescent="0.3">
      <c r="K20" s="86">
        <v>3.0000000000000001E-3</v>
      </c>
      <c r="L20" s="80">
        <v>5</v>
      </c>
      <c r="M20" s="51">
        <f>(N20*K20+L20/1000)/N20</f>
        <v>4.2500000000000003E-3</v>
      </c>
      <c r="N20" s="91">
        <v>4</v>
      </c>
    </row>
    <row r="22" spans="2:14" x14ac:dyDescent="0.3">
      <c r="K22" s="82" t="s">
        <v>711</v>
      </c>
      <c r="L22" s="82"/>
      <c r="M22" s="90" t="s">
        <v>712</v>
      </c>
      <c r="N22" s="89" t="s">
        <v>713</v>
      </c>
    </row>
    <row r="23" spans="2:14" x14ac:dyDescent="0.3">
      <c r="K23" s="86">
        <v>2E-3</v>
      </c>
      <c r="L23" s="80">
        <v>3</v>
      </c>
      <c r="M23" s="51">
        <f>(N23*K23+L23/1000)/N23</f>
        <v>2.7499999999999998E-3</v>
      </c>
      <c r="N23" s="91">
        <v>4</v>
      </c>
    </row>
  </sheetData>
  <mergeCells count="6">
    <mergeCell ref="B2:U2"/>
    <mergeCell ref="B6:H6"/>
    <mergeCell ref="J6:U6"/>
    <mergeCell ref="K19:L19"/>
    <mergeCell ref="J12:U12"/>
    <mergeCell ref="K22:L2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A516D-25F4-4D77-AE18-C9204D3BA7B4}">
  <dimension ref="B2:U23"/>
  <sheetViews>
    <sheetView workbookViewId="0"/>
  </sheetViews>
  <sheetFormatPr defaultRowHeight="14.4" x14ac:dyDescent="0.3"/>
  <cols>
    <col min="2" max="2" width="9" customWidth="1"/>
    <col min="3" max="3" width="6.21875" bestFit="1" customWidth="1"/>
    <col min="4" max="4" width="21.88671875" bestFit="1" customWidth="1"/>
    <col min="5" max="5" width="21.109375" bestFit="1" customWidth="1"/>
    <col min="6" max="6" width="14.109375" bestFit="1" customWidth="1"/>
    <col min="7" max="7" width="15.44140625" bestFit="1" customWidth="1"/>
    <col min="8" max="8" width="14.5546875" bestFit="1" customWidth="1"/>
    <col min="10" max="10" width="7.77734375" bestFit="1" customWidth="1"/>
    <col min="11" max="11" width="9.33203125" bestFit="1" customWidth="1"/>
    <col min="12" max="12" width="15.44140625" bestFit="1" customWidth="1"/>
    <col min="13" max="13" width="19.77734375" bestFit="1" customWidth="1"/>
    <col min="14" max="14" width="12.33203125" bestFit="1" customWidth="1"/>
    <col min="15" max="15" width="13.33203125" bestFit="1" customWidth="1"/>
    <col min="16" max="16" width="13.6640625" bestFit="1" customWidth="1"/>
    <col min="19" max="19" width="10.5546875" bestFit="1" customWidth="1"/>
    <col min="20" max="20" width="14.33203125" bestFit="1" customWidth="1"/>
    <col min="21" max="21" width="8.6640625" bestFit="1" customWidth="1"/>
  </cols>
  <sheetData>
    <row r="2" spans="2:21" x14ac:dyDescent="0.3">
      <c r="B2" s="82" t="s">
        <v>690</v>
      </c>
      <c r="C2" s="82"/>
      <c r="D2" s="82"/>
      <c r="E2" s="82"/>
      <c r="F2" s="82"/>
      <c r="G2" s="82"/>
      <c r="H2" s="82"/>
      <c r="I2" s="82"/>
      <c r="J2" s="82"/>
      <c r="K2" s="82"/>
      <c r="L2" s="82"/>
      <c r="M2" s="82"/>
      <c r="N2" s="82"/>
      <c r="O2" s="82"/>
      <c r="P2" s="82"/>
      <c r="Q2" s="82"/>
      <c r="R2" s="82"/>
      <c r="S2" s="82"/>
      <c r="T2" s="82"/>
      <c r="U2" s="82"/>
    </row>
    <row r="3" spans="2:21" x14ac:dyDescent="0.3">
      <c r="B3" s="83"/>
      <c r="C3" s="83"/>
      <c r="D3" s="83"/>
      <c r="E3" s="83"/>
      <c r="F3" s="83"/>
      <c r="G3" s="83"/>
      <c r="H3" s="83"/>
      <c r="I3" s="83"/>
      <c r="J3" s="83"/>
      <c r="K3" s="83"/>
      <c r="L3" s="83"/>
      <c r="M3" s="83"/>
      <c r="N3" s="83"/>
      <c r="O3" s="83"/>
      <c r="P3" s="83"/>
      <c r="Q3" s="83"/>
      <c r="R3" s="83"/>
      <c r="S3" s="83"/>
      <c r="T3" s="83"/>
      <c r="U3" s="83"/>
    </row>
    <row r="4" spans="2:21" x14ac:dyDescent="0.3">
      <c r="B4" t="s">
        <v>691</v>
      </c>
      <c r="C4" s="83"/>
      <c r="D4" s="83"/>
      <c r="E4" s="83"/>
      <c r="F4" s="83"/>
      <c r="G4" s="83"/>
      <c r="H4" s="83"/>
      <c r="I4" s="83"/>
      <c r="J4" s="83"/>
      <c r="K4" s="83"/>
      <c r="L4" s="83"/>
      <c r="M4" s="83"/>
      <c r="N4" s="83"/>
      <c r="O4" s="83"/>
      <c r="P4" s="83"/>
      <c r="Q4" s="83"/>
      <c r="R4" s="83"/>
      <c r="S4" s="83"/>
      <c r="T4" s="83"/>
      <c r="U4" s="83"/>
    </row>
    <row r="6" spans="2:21" x14ac:dyDescent="0.3">
      <c r="B6" s="82" t="s">
        <v>706</v>
      </c>
      <c r="C6" s="82"/>
      <c r="D6" s="82"/>
      <c r="E6" s="82"/>
      <c r="F6" s="82"/>
      <c r="G6" s="82"/>
      <c r="H6" s="82"/>
      <c r="J6" s="82" t="s">
        <v>709</v>
      </c>
      <c r="K6" s="82"/>
      <c r="L6" s="82"/>
      <c r="M6" s="82"/>
      <c r="N6" s="82"/>
      <c r="O6" s="82"/>
      <c r="P6" s="82"/>
      <c r="Q6" s="82"/>
      <c r="R6" s="82"/>
      <c r="S6" s="82"/>
      <c r="T6" s="82"/>
      <c r="U6" s="82"/>
    </row>
    <row r="8" spans="2:21" x14ac:dyDescent="0.3">
      <c r="B8" s="81" t="s">
        <v>694</v>
      </c>
      <c r="C8" s="81" t="s">
        <v>689</v>
      </c>
      <c r="D8" s="81" t="s">
        <v>692</v>
      </c>
      <c r="E8" s="81" t="s">
        <v>693</v>
      </c>
      <c r="F8" s="81" t="s">
        <v>695</v>
      </c>
      <c r="G8" s="81" t="s">
        <v>688</v>
      </c>
      <c r="H8" s="81" t="s">
        <v>696</v>
      </c>
      <c r="J8" s="81" t="s">
        <v>694</v>
      </c>
      <c r="K8" s="81" t="s">
        <v>687</v>
      </c>
      <c r="L8" s="81" t="s">
        <v>688</v>
      </c>
      <c r="M8" s="81" t="s">
        <v>697</v>
      </c>
      <c r="N8" s="81" t="s">
        <v>703</v>
      </c>
      <c r="O8" s="81" t="s">
        <v>698</v>
      </c>
      <c r="P8" s="81" t="s">
        <v>699</v>
      </c>
      <c r="Q8" s="81" t="s">
        <v>700</v>
      </c>
      <c r="R8" s="81" t="s">
        <v>700</v>
      </c>
      <c r="S8" s="81" t="s">
        <v>701</v>
      </c>
      <c r="T8" s="81" t="s">
        <v>702</v>
      </c>
      <c r="U8" s="81" t="s">
        <v>704</v>
      </c>
    </row>
    <row r="9" spans="2:21" x14ac:dyDescent="0.3">
      <c r="B9" s="80">
        <v>0.1</v>
      </c>
      <c r="C9" s="80">
        <v>0.2</v>
      </c>
      <c r="D9" s="80">
        <v>1.4999999999999999E-2</v>
      </c>
      <c r="E9" s="80">
        <v>4.0000000000000001E-3</v>
      </c>
      <c r="F9" s="80">
        <f t="shared" ref="F9:G17" si="0">B9*D9*10</f>
        <v>1.4999999999999999E-2</v>
      </c>
      <c r="G9" s="80">
        <f t="shared" si="0"/>
        <v>8.0000000000000002E-3</v>
      </c>
      <c r="H9" s="80">
        <f t="shared" ref="H9:H10" si="1">F9+G9</f>
        <v>2.3E-2</v>
      </c>
      <c r="J9" s="80">
        <v>0.1</v>
      </c>
      <c r="K9" s="87">
        <v>2.3E-3</v>
      </c>
      <c r="L9" s="88">
        <v>7.8</v>
      </c>
      <c r="M9" s="80">
        <f>H9</f>
        <v>2.3E-2</v>
      </c>
      <c r="N9" s="84">
        <f>J9*K9+L9/1000-M9/1000</f>
        <v>8.0069999999999985E-3</v>
      </c>
      <c r="O9" s="85">
        <v>9.1999999999999998E-2</v>
      </c>
      <c r="P9" s="85">
        <v>0.108</v>
      </c>
      <c r="Q9" s="85">
        <f>J9-O9</f>
        <v>8.0000000000000071E-3</v>
      </c>
      <c r="R9" s="85">
        <f>P9-J9</f>
        <v>7.9999999999999932E-3</v>
      </c>
      <c r="S9" s="85">
        <f>MAX(Q9:R9)</f>
        <v>8.0000000000000071E-3</v>
      </c>
      <c r="T9" s="80" t="str">
        <f>IF(S9&gt;N9,"OUT OF RANGE!","OK")</f>
        <v>OK</v>
      </c>
      <c r="U9" s="86">
        <f>(J9*K9+L9/1000)/J9</f>
        <v>8.0299999999999983E-2</v>
      </c>
    </row>
    <row r="10" spans="2:21" x14ac:dyDescent="0.3">
      <c r="B10" s="80">
        <v>4</v>
      </c>
      <c r="C10" s="80">
        <v>20</v>
      </c>
      <c r="D10" s="80">
        <v>1.4999999999999999E-2</v>
      </c>
      <c r="E10" s="80">
        <v>4.0000000000000001E-3</v>
      </c>
      <c r="F10" s="80">
        <f t="shared" si="0"/>
        <v>0.6</v>
      </c>
      <c r="G10" s="80">
        <f t="shared" si="0"/>
        <v>0.8</v>
      </c>
      <c r="H10" s="80">
        <f t="shared" si="1"/>
        <v>1.4</v>
      </c>
      <c r="J10" s="80">
        <v>4</v>
      </c>
      <c r="K10" s="87">
        <f t="shared" ref="K10:K13" si="2">$K$9</f>
        <v>2.3E-3</v>
      </c>
      <c r="L10" s="88">
        <f t="shared" ref="L10:L14" si="3">$L$9</f>
        <v>7.8</v>
      </c>
      <c r="M10" s="80">
        <f>H10</f>
        <v>1.4</v>
      </c>
      <c r="N10" s="84">
        <f t="shared" ref="N10:N12" si="4">J10*K10+L10/1000-M10/1000</f>
        <v>1.5600000000000001E-2</v>
      </c>
      <c r="O10" s="85">
        <v>3.9940000000000002</v>
      </c>
      <c r="P10" s="85">
        <v>4.0129999999999999</v>
      </c>
      <c r="Q10" s="85">
        <f>J10-O10</f>
        <v>5.9999999999997833E-3</v>
      </c>
      <c r="R10" s="85">
        <f>P10-J10</f>
        <v>1.2999999999999901E-2</v>
      </c>
      <c r="S10" s="85">
        <f>MAX(Q10:R10)</f>
        <v>1.2999999999999901E-2</v>
      </c>
      <c r="T10" s="80" t="str">
        <f>IF(S10&gt;N10,"OUT OF RANGE!","OK")</f>
        <v>OK</v>
      </c>
      <c r="U10" s="86">
        <f t="shared" ref="U10:U13" si="5">(J10*K10+L10/1000)/J10</f>
        <v>4.2500000000000003E-3</v>
      </c>
    </row>
    <row r="11" spans="2:21" x14ac:dyDescent="0.3">
      <c r="B11" s="80"/>
      <c r="C11" s="80"/>
      <c r="D11" s="80"/>
      <c r="E11" s="80"/>
      <c r="F11" s="80"/>
      <c r="G11" s="80"/>
      <c r="H11" s="80"/>
    </row>
    <row r="12" spans="2:21" x14ac:dyDescent="0.3">
      <c r="B12" s="80"/>
      <c r="C12" s="80"/>
      <c r="D12" s="80"/>
      <c r="E12" s="80"/>
      <c r="F12" s="80"/>
      <c r="G12" s="80"/>
      <c r="H12" s="80"/>
      <c r="J12" s="82" t="s">
        <v>708</v>
      </c>
      <c r="K12" s="82"/>
      <c r="L12" s="82"/>
      <c r="M12" s="82"/>
      <c r="N12" s="82"/>
      <c r="O12" s="82"/>
      <c r="P12" s="82"/>
      <c r="Q12" s="82"/>
      <c r="R12" s="82"/>
      <c r="S12" s="82"/>
      <c r="T12" s="82"/>
      <c r="U12" s="82"/>
    </row>
    <row r="13" spans="2:21" x14ac:dyDescent="0.3">
      <c r="B13" s="80"/>
      <c r="C13" s="80"/>
      <c r="D13" s="80"/>
      <c r="E13" s="80"/>
      <c r="F13" s="80"/>
      <c r="G13" s="80"/>
      <c r="H13" s="80"/>
    </row>
    <row r="14" spans="2:21" x14ac:dyDescent="0.3">
      <c r="B14" s="80"/>
      <c r="C14" s="80"/>
      <c r="D14" s="80"/>
      <c r="E14" s="80"/>
      <c r="F14" s="80"/>
      <c r="G14" s="80"/>
      <c r="H14" s="80"/>
      <c r="J14" s="81" t="s">
        <v>694</v>
      </c>
      <c r="K14" s="81" t="s">
        <v>687</v>
      </c>
      <c r="L14" s="81" t="s">
        <v>688</v>
      </c>
      <c r="M14" s="81" t="s">
        <v>697</v>
      </c>
      <c r="N14" s="81" t="s">
        <v>703</v>
      </c>
      <c r="O14" s="81" t="s">
        <v>698</v>
      </c>
      <c r="P14" s="81" t="s">
        <v>699</v>
      </c>
      <c r="Q14" s="81" t="s">
        <v>700</v>
      </c>
      <c r="R14" s="81" t="s">
        <v>700</v>
      </c>
      <c r="S14" s="81" t="s">
        <v>701</v>
      </c>
      <c r="T14" s="81" t="s">
        <v>702</v>
      </c>
      <c r="U14" s="81" t="s">
        <v>704</v>
      </c>
    </row>
    <row r="15" spans="2:21" x14ac:dyDescent="0.3">
      <c r="B15" s="80">
        <v>0.1</v>
      </c>
      <c r="C15" s="80">
        <v>0.2</v>
      </c>
      <c r="D15" s="80">
        <v>1.4999999999999999E-2</v>
      </c>
      <c r="E15" s="80">
        <v>4.0000000000000001E-3</v>
      </c>
      <c r="F15" s="80">
        <f t="shared" ref="F15:G16" si="6">B15*D15*10</f>
        <v>1.4999999999999999E-2</v>
      </c>
      <c r="G15" s="80">
        <f t="shared" si="6"/>
        <v>8.0000000000000002E-3</v>
      </c>
      <c r="H15" s="80">
        <f t="shared" ref="H15:H16" si="7">F15+G15</f>
        <v>2.3E-2</v>
      </c>
      <c r="J15" s="80">
        <v>0.1</v>
      </c>
      <c r="K15" s="87">
        <v>2.3E-3</v>
      </c>
      <c r="L15" s="88">
        <v>7.8</v>
      </c>
      <c r="M15" s="80">
        <f>H15</f>
        <v>2.3E-2</v>
      </c>
      <c r="N15" s="84">
        <f t="shared" ref="N15:N17" si="8">J15*K15+L15/1000-M15/1000</f>
        <v>8.0069999999999985E-3</v>
      </c>
      <c r="O15" s="85">
        <v>9.1999999999999998E-2</v>
      </c>
      <c r="P15" s="85">
        <v>0.108</v>
      </c>
      <c r="Q15" s="85">
        <f>J15-O15</f>
        <v>8.0000000000000071E-3</v>
      </c>
      <c r="R15" s="85">
        <f>P15-J15</f>
        <v>7.9999999999999932E-3</v>
      </c>
      <c r="S15" s="85">
        <f>MAX(Q15:R15)</f>
        <v>8.0000000000000071E-3</v>
      </c>
      <c r="T15" s="80" t="str">
        <f>IF(S15&gt;N15,"OUT OF RANGE!","OK")</f>
        <v>OK</v>
      </c>
      <c r="U15" s="86">
        <f t="shared" ref="U15:U17" si="9">(J15*K15+L15/1000)/J15</f>
        <v>8.0299999999999983E-2</v>
      </c>
    </row>
    <row r="16" spans="2:21" x14ac:dyDescent="0.3">
      <c r="B16" s="80">
        <v>4</v>
      </c>
      <c r="C16" s="80">
        <v>20</v>
      </c>
      <c r="D16" s="80">
        <v>1.4999999999999999E-2</v>
      </c>
      <c r="E16" s="80">
        <v>4.0000000000000001E-3</v>
      </c>
      <c r="F16" s="80">
        <f t="shared" si="6"/>
        <v>0.6</v>
      </c>
      <c r="G16" s="80">
        <f t="shared" si="6"/>
        <v>0.8</v>
      </c>
      <c r="H16" s="80">
        <f t="shared" si="7"/>
        <v>1.4</v>
      </c>
      <c r="J16" s="80">
        <v>4</v>
      </c>
      <c r="K16" s="87">
        <f>$K$15</f>
        <v>2.3E-3</v>
      </c>
      <c r="L16" s="88">
        <f>$L$15</f>
        <v>7.8</v>
      </c>
      <c r="M16" s="80">
        <f>H16</f>
        <v>1.4</v>
      </c>
      <c r="N16" s="84">
        <f t="shared" si="8"/>
        <v>1.5600000000000001E-2</v>
      </c>
      <c r="O16" s="85">
        <v>4</v>
      </c>
      <c r="P16" s="85">
        <v>4.0140000000000002</v>
      </c>
      <c r="Q16" s="85">
        <f>J16-O16</f>
        <v>0</v>
      </c>
      <c r="R16" s="85">
        <f>P16-J16</f>
        <v>1.4000000000000234E-2</v>
      </c>
      <c r="S16" s="85">
        <f>MAX(Q16:R16)</f>
        <v>1.4000000000000234E-2</v>
      </c>
      <c r="T16" s="80" t="str">
        <f>IF(S16&gt;N16,"OUT OF RANGE!","OK")</f>
        <v>OK</v>
      </c>
      <c r="U16" s="86">
        <f t="shared" si="9"/>
        <v>4.2500000000000003E-3</v>
      </c>
    </row>
    <row r="17" spans="2:14" x14ac:dyDescent="0.3">
      <c r="B17" s="80"/>
      <c r="C17" s="80"/>
      <c r="D17" s="80"/>
      <c r="E17" s="80"/>
      <c r="F17" s="80"/>
      <c r="G17" s="80"/>
      <c r="H17" s="80"/>
    </row>
    <row r="19" spans="2:14" x14ac:dyDescent="0.3">
      <c r="K19" s="82" t="s">
        <v>710</v>
      </c>
      <c r="L19" s="82"/>
      <c r="M19" s="90" t="s">
        <v>712</v>
      </c>
      <c r="N19" s="89" t="s">
        <v>713</v>
      </c>
    </row>
    <row r="20" spans="2:14" x14ac:dyDescent="0.3">
      <c r="K20" s="86">
        <v>3.0000000000000001E-3</v>
      </c>
      <c r="L20" s="80">
        <v>8</v>
      </c>
      <c r="M20" s="51">
        <f>(N20*K20+L20/1000)/N20</f>
        <v>5.0000000000000001E-3</v>
      </c>
      <c r="N20" s="91">
        <v>4</v>
      </c>
    </row>
    <row r="22" spans="2:14" x14ac:dyDescent="0.3">
      <c r="K22" s="82" t="s">
        <v>711</v>
      </c>
      <c r="L22" s="82"/>
      <c r="M22" s="90" t="s">
        <v>712</v>
      </c>
      <c r="N22" s="89" t="s">
        <v>713</v>
      </c>
    </row>
    <row r="23" spans="2:14" x14ac:dyDescent="0.3">
      <c r="K23" s="86">
        <v>2.5000000000000001E-3</v>
      </c>
      <c r="L23" s="80">
        <v>8</v>
      </c>
      <c r="M23" s="51">
        <f>(N23*K23+L23/1000)/N23</f>
        <v>4.5000000000000005E-3</v>
      </c>
      <c r="N23" s="91">
        <v>4</v>
      </c>
    </row>
  </sheetData>
  <mergeCells count="6">
    <mergeCell ref="B2:U2"/>
    <mergeCell ref="B6:H6"/>
    <mergeCell ref="J6:U6"/>
    <mergeCell ref="K19:L19"/>
    <mergeCell ref="J12:U12"/>
    <mergeCell ref="K22:L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0E6A86B6A72843A145503AA2D1C9D2" ma:contentTypeVersion="7" ma:contentTypeDescription="Create a new document." ma:contentTypeScope="" ma:versionID="5d3c1c7ece3f519f6100afb4e8df301d">
  <xsd:schema xmlns:xsd="http://www.w3.org/2001/XMLSchema" xmlns:xs="http://www.w3.org/2001/XMLSchema" xmlns:p="http://schemas.microsoft.com/office/2006/metadata/properties" xmlns:ns2="80bf8e2e-1b1f-4d16-a09c-009365d947dd" targetNamespace="http://schemas.microsoft.com/office/2006/metadata/properties" ma:root="true" ma:fieldsID="73a751ef50b924751f9cc7667f8fa632" ns2:_="">
    <xsd:import namespace="80bf8e2e-1b1f-4d16-a09c-009365d947d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bf8e2e-1b1f-4d16-a09c-009365d94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13160F-20C8-468C-92EC-1818B774DB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bf8e2e-1b1f-4d16-a09c-009365d94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387BD4-6431-4B6B-8F3A-12FB0D511262}">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80bf8e2e-1b1f-4d16-a09c-009365d947dd"/>
    <ds:schemaRef ds:uri="http://purl.org/dc/elements/1.1/"/>
    <ds:schemaRef ds:uri="http://www.w3.org/XML/1998/namespace"/>
  </ds:schemaRefs>
</ds:datastoreItem>
</file>

<file path=customXml/itemProps3.xml><?xml version="1.0" encoding="utf-8"?>
<ds:datastoreItem xmlns:ds="http://schemas.openxmlformats.org/officeDocument/2006/customXml" ds:itemID="{368C002D-18C7-4DB4-8D71-7F615FBD04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DUT</vt:lpstr>
      <vt:lpstr>Analog Channels</vt:lpstr>
      <vt:lpstr>AUDIO,RS485,LOAD</vt:lpstr>
      <vt:lpstr>MPIO</vt:lpstr>
      <vt:lpstr>FE_MPIO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Johansson</dc:creator>
  <cp:keywords/>
  <dc:description/>
  <cp:lastModifiedBy>Martin Johansson</cp:lastModifiedBy>
  <cp:revision/>
  <dcterms:created xsi:type="dcterms:W3CDTF">2015-06-05T18:17:20Z</dcterms:created>
  <dcterms:modified xsi:type="dcterms:W3CDTF">2026-01-21T11:03:59Z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0x0101004F0E6A86B6A72843A145503AA2D1C9D2</vt:lpwstr>
  </property>
</Properties>
</file>