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esharpab-my.sharepoint.com/personal/daniel_esharp_se/Documents/DesignLabs/PLM/Products/ESH10000535/P2/Verification/"/>
    </mc:Choice>
  </mc:AlternateContent>
  <xr:revisionPtr revIDLastSave="332" documentId="13_ncr:1_{D9DD03F0-0411-4BE9-B0C3-6F642FA36ED2}" xr6:coauthVersionLast="47" xr6:coauthVersionMax="47" xr10:uidLastSave="{2CC04D10-6FFC-4DB6-A1EA-D60371F0A919}"/>
  <bookViews>
    <workbookView xWindow="-103" yWindow="-103" windowWidth="21600" windowHeight="13749" tabRatio="457" xr2:uid="{00000000-000D-0000-FFFF-FFFF00000000}"/>
  </bookViews>
  <sheets>
    <sheet name="DUT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9" i="3" l="1"/>
  <c r="Z28" i="3"/>
  <c r="Z27" i="3"/>
  <c r="Z26" i="3"/>
  <c r="Z25" i="3"/>
  <c r="Z24" i="3"/>
  <c r="Z23" i="3"/>
  <c r="Z22" i="3"/>
  <c r="Z21" i="3"/>
  <c r="Z20" i="3"/>
  <c r="Z19" i="3"/>
  <c r="Z18" i="3"/>
  <c r="Z17" i="3"/>
  <c r="Z16" i="3"/>
  <c r="Z15" i="3"/>
  <c r="Z14" i="3"/>
  <c r="Z13" i="3"/>
  <c r="Z12" i="3"/>
  <c r="Z11" i="3"/>
  <c r="Z10" i="3"/>
  <c r="Z9" i="3"/>
  <c r="Z8" i="3"/>
  <c r="Z7" i="3"/>
  <c r="U29" i="3"/>
  <c r="U28" i="3"/>
  <c r="U27" i="3"/>
  <c r="U26" i="3"/>
  <c r="U25" i="3"/>
  <c r="U24" i="3"/>
  <c r="U23" i="3"/>
  <c r="U22" i="3"/>
  <c r="U21" i="3"/>
  <c r="U20" i="3"/>
  <c r="U19" i="3"/>
  <c r="U18" i="3"/>
  <c r="U17" i="3"/>
  <c r="U16" i="3"/>
  <c r="U15" i="3"/>
  <c r="U14" i="3"/>
  <c r="U13" i="3"/>
  <c r="U12" i="3"/>
  <c r="U11" i="3"/>
  <c r="U10" i="3"/>
  <c r="U9" i="3"/>
  <c r="U8" i="3"/>
  <c r="U7" i="3"/>
  <c r="P29" i="3"/>
  <c r="P28" i="3"/>
  <c r="P27" i="3"/>
  <c r="P26" i="3"/>
  <c r="P25" i="3"/>
  <c r="P24" i="3"/>
  <c r="P23" i="3"/>
  <c r="P22" i="3"/>
  <c r="P21" i="3"/>
  <c r="P20" i="3"/>
  <c r="P19" i="3"/>
  <c r="P18" i="3"/>
  <c r="P17" i="3"/>
  <c r="P16" i="3"/>
  <c r="P15" i="3"/>
  <c r="P14" i="3"/>
  <c r="P13" i="3"/>
  <c r="P12" i="3"/>
  <c r="P11" i="3"/>
  <c r="P10" i="3"/>
  <c r="P9" i="3"/>
  <c r="P8" i="3"/>
  <c r="P7" i="3"/>
</calcChain>
</file>

<file path=xl/sharedStrings.xml><?xml version="1.0" encoding="utf-8"?>
<sst xmlns="http://schemas.openxmlformats.org/spreadsheetml/2006/main" count="436" uniqueCount="184">
  <si>
    <t>Comment</t>
  </si>
  <si>
    <t>ID</t>
  </si>
  <si>
    <t>Sequence</t>
  </si>
  <si>
    <t>Step</t>
  </si>
  <si>
    <t>Function</t>
  </si>
  <si>
    <t>Test</t>
  </si>
  <si>
    <t>Signals</t>
  </si>
  <si>
    <t>P.00</t>
  </si>
  <si>
    <t>P.01</t>
  </si>
  <si>
    <t>Power</t>
  </si>
  <si>
    <t>5VA</t>
  </si>
  <si>
    <t>VOUT+</t>
  </si>
  <si>
    <t>VOUT-</t>
  </si>
  <si>
    <t>+18V</t>
  </si>
  <si>
    <t>-18V</t>
  </si>
  <si>
    <t>BYP+</t>
  </si>
  <si>
    <t>BYP-</t>
  </si>
  <si>
    <t>ADJ-</t>
  </si>
  <si>
    <t>ADJ+</t>
  </si>
  <si>
    <t>3V3</t>
  </si>
  <si>
    <t>12V</t>
  </si>
  <si>
    <t>SPI</t>
  </si>
  <si>
    <t>VCAP</t>
  </si>
  <si>
    <t>PWM_VCCO</t>
  </si>
  <si>
    <t>Tacho</t>
  </si>
  <si>
    <t>TACH_VCCO</t>
  </si>
  <si>
    <t>VID</t>
  </si>
  <si>
    <t>5V</t>
  </si>
  <si>
    <t>I2C</t>
  </si>
  <si>
    <t>5VA Supply</t>
  </si>
  <si>
    <t>3V3 Supply</t>
  </si>
  <si>
    <t>Dual Supply</t>
  </si>
  <si>
    <t>12V Supply</t>
  </si>
  <si>
    <t>LED Driver</t>
  </si>
  <si>
    <t>PWM_VCCO Supply</t>
  </si>
  <si>
    <t>TACH_VCCO Supply</t>
  </si>
  <si>
    <t>VID Supply</t>
  </si>
  <si>
    <t>5V Supply</t>
  </si>
  <si>
    <t>LSHM</t>
  </si>
  <si>
    <t>MPIO</t>
  </si>
  <si>
    <t>UART</t>
  </si>
  <si>
    <t>RESETn</t>
  </si>
  <si>
    <t>IREF</t>
  </si>
  <si>
    <t>PWM</t>
  </si>
  <si>
    <t>PWM_OEn</t>
  </si>
  <si>
    <t>TACH_OEn</t>
  </si>
  <si>
    <t>*</t>
  </si>
  <si>
    <t>Mechanical</t>
  </si>
  <si>
    <t>NA</t>
  </si>
  <si>
    <t>Spacer N-Top</t>
  </si>
  <si>
    <t>Atmega</t>
  </si>
  <si>
    <t>Pass /Fail</t>
  </si>
  <si>
    <t>Measure 12 V rail with DMM</t>
  </si>
  <si>
    <t>Nominal value</t>
  </si>
  <si>
    <t>Tolerance</t>
  </si>
  <si>
    <t>Measure 5VA rail with DMM</t>
  </si>
  <si>
    <t>Measure 5V rail with DMM</t>
  </si>
  <si>
    <t>5VA power</t>
  </si>
  <si>
    <t>3V3 power</t>
  </si>
  <si>
    <t>5V power</t>
  </si>
  <si>
    <t>12V power</t>
  </si>
  <si>
    <t>Measure 3V3 rail with DMM</t>
  </si>
  <si>
    <t>VREF power</t>
  </si>
  <si>
    <t>VREF Supply</t>
  </si>
  <si>
    <t>Measure VCM_ADC1 rail with DMM</t>
  </si>
  <si>
    <t>VID power</t>
  </si>
  <si>
    <t>Measure VID rail with DMM</t>
  </si>
  <si>
    <t>LED power</t>
  </si>
  <si>
    <t>LED driver internal supply</t>
  </si>
  <si>
    <t>PWM power</t>
  </si>
  <si>
    <t>Tach power</t>
  </si>
  <si>
    <t>Measure VCAP at LED Driver with DMM</t>
  </si>
  <si>
    <t>Measure PWM_VCCO rail @1.5V with DMM</t>
  </si>
  <si>
    <t>Measure TACH_VCCO rail @1.5V with DMM</t>
  </si>
  <si>
    <t>Measure PWM_VCCO rail @1.8V with DMM</t>
  </si>
  <si>
    <t>Measure PWM_VCCO rail @2.5V with DMM</t>
  </si>
  <si>
    <t>Measure PWM_VCCO rail @3.3V with DMM</t>
  </si>
  <si>
    <t>Measure TACH_VCCO rail @1.8V with DMM</t>
  </si>
  <si>
    <t>Measure TACH_VCCO rail @2.5V with DMM</t>
  </si>
  <si>
    <t>Measure TACH_VCCO rail @3.3V with DMM</t>
  </si>
  <si>
    <t>+/-18V power</t>
  </si>
  <si>
    <t>Measure +18V rail with DMM</t>
  </si>
  <si>
    <t>Measure -18V rail with DMM</t>
  </si>
  <si>
    <t>Measure ADJ+ rail with DMM</t>
  </si>
  <si>
    <t>Measure ADJ- rail with DMM</t>
  </si>
  <si>
    <t>Measure BYP+ rail with DMM</t>
  </si>
  <si>
    <t>Measure BYP- rail with DMM</t>
  </si>
  <si>
    <t>Measure VOUT+ rail with DMM</t>
  </si>
  <si>
    <t>Measure VOUT- rail with DMM</t>
  </si>
  <si>
    <t>P.02</t>
  </si>
  <si>
    <t>P.03</t>
  </si>
  <si>
    <t>P.04</t>
  </si>
  <si>
    <t>P.05</t>
  </si>
  <si>
    <t>P.06</t>
  </si>
  <si>
    <t>P.07</t>
  </si>
  <si>
    <t>P.08</t>
  </si>
  <si>
    <t>P.09</t>
  </si>
  <si>
    <t>P.10</t>
  </si>
  <si>
    <t>P.11</t>
  </si>
  <si>
    <t>P.12</t>
  </si>
  <si>
    <t>P.14</t>
  </si>
  <si>
    <t>P.15</t>
  </si>
  <si>
    <t>P.16</t>
  </si>
  <si>
    <t>P.17</t>
  </si>
  <si>
    <t>P.19</t>
  </si>
  <si>
    <t>P.20</t>
  </si>
  <si>
    <t>P.21</t>
  </si>
  <si>
    <t>P.22</t>
  </si>
  <si>
    <t>M.00</t>
  </si>
  <si>
    <t>M.01</t>
  </si>
  <si>
    <t>Make sure M1,M2 fits mechanically</t>
  </si>
  <si>
    <t>Spacers</t>
  </si>
  <si>
    <t>IREF  Setting</t>
  </si>
  <si>
    <t>Make sure IREF works as expected</t>
  </si>
  <si>
    <t>SPI_ENn.DSCLK,SMOSI,SCS0n,SDO,DCS1n,SCK,SDI</t>
  </si>
  <si>
    <t>SDA,SCL</t>
  </si>
  <si>
    <t>Make sure LEDs can be controlled as expected</t>
  </si>
  <si>
    <t>LED*</t>
  </si>
  <si>
    <t>Make sure enable pin works as expected</t>
  </si>
  <si>
    <t>PWM*</t>
  </si>
  <si>
    <t>TACH*</t>
  </si>
  <si>
    <t>Connector</t>
  </si>
  <si>
    <t>N-Top</t>
  </si>
  <si>
    <t>Make sure LSHM mapping is right</t>
  </si>
  <si>
    <t>Make sure N-Top to Agent mapping is right</t>
  </si>
  <si>
    <t>C.00</t>
  </si>
  <si>
    <t>C.01</t>
  </si>
  <si>
    <t>MPIO_0</t>
  </si>
  <si>
    <t>MPIO_1</t>
  </si>
  <si>
    <t>M.02</t>
  </si>
  <si>
    <t>No Mounts</t>
  </si>
  <si>
    <t>Unit</t>
  </si>
  <si>
    <t>Make sure LSHM and cable fits in the top cover</t>
  </si>
  <si>
    <t>Measured</t>
  </si>
  <si>
    <t>V</t>
  </si>
  <si>
    <t>VREF_BUF</t>
  </si>
  <si>
    <t>P.13</t>
  </si>
  <si>
    <t>P.18</t>
  </si>
  <si>
    <t>Program the ATMega over UART</t>
  </si>
  <si>
    <t>UART_ENn,DRTS,DTXD, UCTS,URXD,UPDI_PGM,UPDI</t>
  </si>
  <si>
    <t>ADCs</t>
  </si>
  <si>
    <t>Access the two ADCs over SPI</t>
  </si>
  <si>
    <t>Reset</t>
  </si>
  <si>
    <t>Test ATMega Reset</t>
  </si>
  <si>
    <t>Test ADCs Reset</t>
  </si>
  <si>
    <t>A002757</t>
  </si>
  <si>
    <t>Pass</t>
  </si>
  <si>
    <t>R96 was missing making the LED driver address wrong!</t>
  </si>
  <si>
    <t>Find the LED Driver @0x14 and @0x0C, I2C Expander @0x20 and IDPROM @0x50. Program the IDPROM</t>
  </si>
  <si>
    <t>Verify all no mounts, make sure R96 and R76 are mounted</t>
  </si>
  <si>
    <t>Loopback UART at Atmega pins</t>
  </si>
  <si>
    <t>Sometimes I need to toggle PROG_EN high and low, otherwise no data is seen on ATMega TX/RX. When there is no data on ATMega I still receive data (it is looped back over the diode?) but sending FF FF FF over 115200 renders a longer first low bit. How is the PGM / EN switch suppose to work?</t>
  </si>
  <si>
    <t>Find the ATMega over I2C @0x30</t>
  </si>
  <si>
    <t>A002758</t>
  </si>
  <si>
    <t>A002759</t>
  </si>
  <si>
    <t>R96 was missing making the LED driver address wrong!
R76 was missing for UART to ATMega.</t>
  </si>
  <si>
    <t>A few 100mV ripple found, eliminated by 100pF feedback to OP.</t>
  </si>
  <si>
    <t>Make sure the analog signals from the DAC/ADC work as expected. Set 2.5V (VREF) and compare to DMM reading</t>
  </si>
  <si>
    <t>Functionally test the PWM generated at the Atmeag through the buffer at different voltages. Also check static low, high amd tri-state.</t>
  </si>
  <si>
    <t>Functionally test the Tach received at the Atmeag through the buffer at different voltages and frequencies.</t>
  </si>
  <si>
    <t>Question</t>
  </si>
  <si>
    <t>Programming works so ok, but could be investigated</t>
  </si>
  <si>
    <t>FAIL</t>
  </si>
  <si>
    <t>Fail on one unit</t>
  </si>
  <si>
    <t>Ctrl IO</t>
  </si>
  <si>
    <t>User IO</t>
  </si>
  <si>
    <t>Tested with Fixture Electronics</t>
  </si>
  <si>
    <t>Differential Analog IO</t>
  </si>
  <si>
    <t>See FE</t>
  </si>
  <si>
    <t>UIO.00</t>
  </si>
  <si>
    <t>UIO.01</t>
  </si>
  <si>
    <t>UIO.02</t>
  </si>
  <si>
    <t>UIO.03</t>
  </si>
  <si>
    <t>CIO.00</t>
  </si>
  <si>
    <t>CIO.01</t>
  </si>
  <si>
    <t>CIO.02</t>
  </si>
  <si>
    <t>CIO.03</t>
  </si>
  <si>
    <t>CIO.04</t>
  </si>
  <si>
    <t>CIO.05</t>
  </si>
  <si>
    <t>CIO.06</t>
  </si>
  <si>
    <t>CIO.07</t>
  </si>
  <si>
    <t>CIO.08</t>
  </si>
  <si>
    <t>CIO.09</t>
  </si>
  <si>
    <t>CIO.10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</si>
</sst>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%"/>
  </numFmts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5" borderId="0" applyNumberFormat="0" applyBorder="0" applyAlignment="0" applyProtection="0"/>
  </cellStyleXfs>
  <cellXfs count="47">
    <xf numFmtId="0" fontId="0" fillId="0" borderId="0" xfId="0"/>
    <xf numFmtId="0" fontId="0" fillId="0" borderId="2" xfId="0" applyBorder="1" applyAlignment="1">
      <alignment horizontal="center" vertical="top"/>
    </xf>
    <xf numFmtId="0" fontId="0" fillId="3" borderId="2" xfId="0" applyFill="1" applyBorder="1" applyAlignment="1">
      <alignment horizontal="center" vertical="top"/>
    </xf>
    <xf numFmtId="164" fontId="0" fillId="0" borderId="2" xfId="0" applyNumberFormat="1" applyBorder="1" applyAlignment="1">
      <alignment horizontal="center" vertical="top"/>
    </xf>
    <xf numFmtId="0" fontId="2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 wrapText="1"/>
    </xf>
    <xf numFmtId="0" fontId="3" fillId="3" borderId="2" xfId="0" applyFont="1" applyFill="1" applyBorder="1" applyAlignment="1">
      <alignment horizontal="center" vertical="top"/>
    </xf>
    <xf numFmtId="164" fontId="3" fillId="0" borderId="2" xfId="0" applyNumberFormat="1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 wrapText="1"/>
    </xf>
    <xf numFmtId="164" fontId="0" fillId="10" borderId="2" xfId="0" applyNumberFormat="1" applyFill="1" applyBorder="1" applyAlignment="1">
      <alignment horizontal="center" vertical="top"/>
    </xf>
    <xf numFmtId="0" fontId="5" fillId="3" borderId="2" xfId="1" applyFill="1" applyBorder="1" applyAlignment="1">
      <alignment horizontal="center" vertical="top"/>
    </xf>
    <xf numFmtId="165" fontId="0" fillId="0" borderId="2" xfId="0" applyNumberFormat="1" applyBorder="1" applyAlignment="1">
      <alignment horizontal="center" vertical="top"/>
    </xf>
    <xf numFmtId="165" fontId="0" fillId="3" borderId="2" xfId="0" applyNumberFormat="1" applyFill="1" applyBorder="1" applyAlignment="1">
      <alignment horizontal="center" vertical="top"/>
    </xf>
    <xf numFmtId="164" fontId="0" fillId="3" borderId="2" xfId="0" applyNumberFormat="1" applyFill="1" applyBorder="1" applyAlignment="1">
      <alignment horizontal="center" vertical="top"/>
    </xf>
    <xf numFmtId="0" fontId="2" fillId="3" borderId="2" xfId="0" applyFont="1" applyFill="1" applyBorder="1" applyAlignment="1">
      <alignment horizontal="left" vertical="top" wrapText="1"/>
    </xf>
    <xf numFmtId="165" fontId="0" fillId="10" borderId="2" xfId="0" applyNumberFormat="1" applyFill="1" applyBorder="1" applyAlignment="1">
      <alignment horizontal="center" vertical="top"/>
    </xf>
    <xf numFmtId="0" fontId="0" fillId="0" borderId="2" xfId="0" applyBorder="1" applyAlignment="1">
      <alignment horizontal="left" vertical="top"/>
    </xf>
    <xf numFmtId="0" fontId="0" fillId="0" borderId="2" xfId="0" applyBorder="1" applyAlignment="1">
      <alignment horizontal="left" vertical="top" wrapText="1"/>
    </xf>
    <xf numFmtId="0" fontId="0" fillId="3" borderId="2" xfId="0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0" fillId="0" borderId="2" xfId="0" quotePrefix="1" applyBorder="1" applyAlignment="1">
      <alignment horizontal="left" vertical="top" wrapText="1"/>
    </xf>
    <xf numFmtId="0" fontId="0" fillId="3" borderId="2" xfId="0" applyFill="1" applyBorder="1" applyAlignment="1">
      <alignment horizontal="left" vertical="top" wrapText="1"/>
    </xf>
    <xf numFmtId="10" fontId="5" fillId="3" borderId="2" xfId="1" applyNumberFormat="1" applyFill="1" applyBorder="1" applyAlignment="1">
      <alignment horizontal="left" vertical="top"/>
    </xf>
    <xf numFmtId="0" fontId="1" fillId="3" borderId="2" xfId="0" applyFont="1" applyFill="1" applyBorder="1" applyAlignment="1">
      <alignment horizontal="center" vertical="top"/>
    </xf>
    <xf numFmtId="164" fontId="0" fillId="4" borderId="2" xfId="0" applyNumberFormat="1" applyFill="1" applyBorder="1" applyAlignment="1">
      <alignment horizontal="center" vertical="top"/>
    </xf>
    <xf numFmtId="164" fontId="0" fillId="4" borderId="2" xfId="0" applyNumberFormat="1" applyFill="1" applyBorder="1" applyAlignment="1">
      <alignment horizontal="center" vertical="top" wrapText="1"/>
    </xf>
    <xf numFmtId="0" fontId="2" fillId="9" borderId="2" xfId="0" applyFont="1" applyFill="1" applyBorder="1" applyAlignment="1">
      <alignment horizontal="left" vertical="top" wrapText="1"/>
    </xf>
    <xf numFmtId="0" fontId="0" fillId="9" borderId="2" xfId="0" applyFill="1" applyBorder="1" applyAlignment="1">
      <alignment horizontal="left" vertical="top"/>
    </xf>
    <xf numFmtId="164" fontId="0" fillId="11" borderId="2" xfId="0" applyNumberFormat="1" applyFill="1" applyBorder="1" applyAlignment="1">
      <alignment horizontal="center" vertical="top"/>
    </xf>
    <xf numFmtId="0" fontId="7" fillId="9" borderId="3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7" fillId="6" borderId="3" xfId="0" applyFont="1" applyFill="1" applyBorder="1" applyAlignment="1">
      <alignment horizontal="center" vertical="top"/>
    </xf>
    <xf numFmtId="0" fontId="7" fillId="6" borderId="4" xfId="0" applyFont="1" applyFill="1" applyBorder="1" applyAlignment="1">
      <alignment horizontal="center" vertical="top"/>
    </xf>
    <xf numFmtId="0" fontId="7" fillId="2" borderId="3" xfId="0" applyFont="1" applyFill="1" applyBorder="1" applyAlignment="1">
      <alignment horizontal="center" vertical="top"/>
    </xf>
    <xf numFmtId="0" fontId="7" fillId="2" borderId="4" xfId="0" applyFont="1" applyFill="1" applyBorder="1" applyAlignment="1">
      <alignment horizontal="center" vertical="top"/>
    </xf>
    <xf numFmtId="0" fontId="7" fillId="2" borderId="1" xfId="0" applyFont="1" applyFill="1" applyBorder="1" applyAlignment="1">
      <alignment horizontal="center" vertical="top"/>
    </xf>
    <xf numFmtId="0" fontId="7" fillId="7" borderId="4" xfId="0" applyFont="1" applyFill="1" applyBorder="1" applyAlignment="1">
      <alignment horizontal="center" vertical="top"/>
    </xf>
    <xf numFmtId="0" fontId="3" fillId="0" borderId="5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0" fontId="3" fillId="0" borderId="7" xfId="0" applyFont="1" applyBorder="1" applyAlignment="1">
      <alignment horizontal="center" vertical="top"/>
    </xf>
    <xf numFmtId="0" fontId="7" fillId="8" borderId="3" xfId="0" applyFont="1" applyFill="1" applyBorder="1" applyAlignment="1">
      <alignment horizontal="center" vertical="top"/>
    </xf>
    <xf numFmtId="0" fontId="7" fillId="8" borderId="4" xfId="0" applyFont="1" applyFill="1" applyBorder="1" applyAlignment="1">
      <alignment horizontal="center" vertical="top"/>
    </xf>
    <xf numFmtId="0" fontId="8" fillId="0" borderId="4" xfId="0" applyFont="1" applyBorder="1" applyAlignment="1">
      <alignment horizontal="center" vertical="top"/>
    </xf>
    <xf numFmtId="0" fontId="8" fillId="0" borderId="1" xfId="0" applyFont="1" applyBorder="1" applyAlignment="1">
      <alignment horizontal="center" vertical="top"/>
    </xf>
  </cellXfs>
  <cellStyles count="2">
    <cellStyle name="Good" xfId="1" builtinId="26"/>
    <cellStyle name="Normal" xfId="0" builtinId="0"/>
  </cellStyles>
  <dxfs count="63">
    <dxf>
      <fill>
        <patternFill>
          <bgColor rgb="FFFF0000"/>
        </patternFill>
      </fill>
    </dxf>
    <dxf>
      <fill>
        <patternFill>
          <fgColor rgb="FFFF0000"/>
          <bgColor rgb="FF00B050"/>
        </patternFill>
      </fill>
    </dxf>
    <dxf>
      <fill>
        <patternFill>
          <fgColor rgb="FFFF0000"/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fgColor rgb="FFFF0000"/>
          <bgColor rgb="FF00B050"/>
        </patternFill>
      </fill>
    </dxf>
    <dxf>
      <font>
        <color auto="1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B050"/>
      </font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70C0"/>
      </font>
      <fill>
        <patternFill>
          <bgColor theme="4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theme="5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theme="5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70C0"/>
      </font>
      <fill>
        <patternFill>
          <bgColor theme="4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B050"/>
      </font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fgColor rgb="FFFF0000"/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fgColor rgb="FFFF0000"/>
          <bgColor rgb="FF00B050"/>
        </patternFill>
      </fill>
    </dxf>
    <dxf>
      <fill>
        <patternFill>
          <fgColor rgb="FFFF0000"/>
          <bgColor rgb="FF00B050"/>
        </patternFill>
      </fill>
    </dxf>
    <dxf>
      <fill>
        <patternFill>
          <bgColor rgb="FFFF0000"/>
        </patternFill>
      </fill>
    </dxf>
    <dxf>
      <font>
        <color rgb="FFFF0000"/>
      </font>
      <fill>
        <patternFill>
          <bgColor theme="5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70C0"/>
      </font>
      <fill>
        <patternFill>
          <bgColor theme="4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B050"/>
      </font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theme="5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B050"/>
      </font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70C0"/>
      </font>
      <fill>
        <patternFill>
          <bgColor theme="4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fgColor rgb="FFFF0000"/>
          <bgColor rgb="FF00B050"/>
        </patternFill>
      </fill>
    </dxf>
    <dxf>
      <fill>
        <patternFill>
          <fgColor rgb="FFFF0000"/>
          <bgColor rgb="FF00B050"/>
        </patternFill>
      </fill>
    </dxf>
    <dxf>
      <fill>
        <patternFill>
          <bgColor rgb="FFFF0000"/>
        </patternFill>
      </fill>
    </dxf>
    <dxf>
      <fill>
        <patternFill>
          <fgColor rgb="FFFF0000"/>
          <bgColor rgb="FF00B050"/>
        </patternFill>
      </fill>
    </dxf>
    <dxf>
      <fill>
        <patternFill>
          <bgColor rgb="FFFF0000"/>
        </patternFill>
      </fill>
    </dxf>
    <dxf>
      <font>
        <color rgb="FFFF0000"/>
      </font>
      <fill>
        <patternFill>
          <bgColor theme="5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70C0"/>
      </font>
      <fill>
        <patternFill>
          <bgColor theme="4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B050"/>
      </font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70C0"/>
      </font>
      <fill>
        <patternFill>
          <bgColor theme="4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B050"/>
      </font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theme="5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theme="5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B050"/>
      </font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70C0"/>
      </font>
      <fill>
        <patternFill>
          <bgColor theme="4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70C0"/>
      </font>
      <fill>
        <patternFill>
          <bgColor theme="4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B050"/>
      </font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theme="5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70C0"/>
      </font>
      <fill>
        <patternFill>
          <bgColor theme="4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B050"/>
      </font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theme="5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6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B732E-0445-4DBE-ACEC-D5A7599C523B}">
  <dimension ref="B1:AD50"/>
  <sheetViews>
    <sheetView tabSelected="1" zoomScaleNormal="100" workbookViewId="0">
      <pane ySplit="2" topLeftCell="A3" activePane="bottomLeft" state="frozen"/>
      <selection pane="bottomLeft"/>
    </sheetView>
  </sheetViews>
  <sheetFormatPr defaultColWidth="9.23046875" defaultRowHeight="14.6" x14ac:dyDescent="0.4"/>
  <cols>
    <col min="1" max="1" width="2.53515625" style="20" customWidth="1"/>
    <col min="2" max="2" width="6.3046875" style="17" bestFit="1" customWidth="1"/>
    <col min="3" max="3" width="25.07421875" style="1" customWidth="1"/>
    <col min="4" max="4" width="14.23046875" style="17" bestFit="1" customWidth="1"/>
    <col min="5" max="5" width="22.07421875" style="17" bestFit="1" customWidth="1"/>
    <col min="6" max="6" width="46.07421875" style="18" customWidth="1"/>
    <col min="7" max="7" width="27.69140625" style="18" customWidth="1"/>
    <col min="8" max="8" width="14.4609375" style="1" bestFit="1" customWidth="1"/>
    <col min="9" max="9" width="0.84375" style="2" customWidth="1"/>
    <col min="10" max="10" width="13.23046875" style="3" bestFit="1" customWidth="1"/>
    <col min="11" max="11" width="4.4609375" style="3" bestFit="1" customWidth="1"/>
    <col min="12" max="12" width="12.07421875" style="1" customWidth="1"/>
    <col min="13" max="13" width="18.07421875" style="1" customWidth="1"/>
    <col min="14" max="14" width="1.69140625" style="2" customWidth="1"/>
    <col min="15" max="16" width="12.07421875" style="3" customWidth="1"/>
    <col min="17" max="17" width="13.4609375" style="3" bestFit="1" customWidth="1"/>
    <col min="18" max="18" width="12.07421875" style="1" customWidth="1"/>
    <col min="19" max="19" width="0.84375" style="19" customWidth="1"/>
    <col min="20" max="21" width="12.07421875" style="3" customWidth="1"/>
    <col min="22" max="22" width="13.4609375" style="3" bestFit="1" customWidth="1"/>
    <col min="23" max="23" width="12.07421875" style="1" customWidth="1"/>
    <col min="24" max="24" width="0.84375" style="19" customWidth="1"/>
    <col min="25" max="26" width="12.07421875" style="3" customWidth="1"/>
    <col min="27" max="27" width="13.4609375" style="3" bestFit="1" customWidth="1"/>
    <col min="28" max="28" width="12.07421875" style="1" customWidth="1"/>
    <col min="29" max="29" width="0.84375" style="19" customWidth="1"/>
    <col min="30" max="30" width="62" style="4" customWidth="1"/>
    <col min="31" max="31" width="6.69140625" style="20" customWidth="1"/>
    <col min="32" max="16384" width="9.23046875" style="20"/>
  </cols>
  <sheetData>
    <row r="1" spans="2:30" x14ac:dyDescent="0.4">
      <c r="O1" s="40" t="s">
        <v>145</v>
      </c>
      <c r="P1" s="41"/>
      <c r="Q1" s="41"/>
      <c r="R1" s="42"/>
      <c r="T1" s="40" t="s">
        <v>153</v>
      </c>
      <c r="U1" s="41"/>
      <c r="V1" s="41"/>
      <c r="W1" s="42"/>
      <c r="Y1" s="40" t="s">
        <v>154</v>
      </c>
      <c r="Z1" s="41"/>
      <c r="AA1" s="41"/>
      <c r="AB1" s="42"/>
    </row>
    <row r="2" spans="2:30" x14ac:dyDescent="0.4">
      <c r="B2" s="21" t="s">
        <v>1</v>
      </c>
      <c r="C2" s="5" t="s">
        <v>2</v>
      </c>
      <c r="D2" s="22" t="s">
        <v>3</v>
      </c>
      <c r="E2" s="6" t="s">
        <v>4</v>
      </c>
      <c r="F2" s="6" t="s">
        <v>5</v>
      </c>
      <c r="G2" s="6" t="s">
        <v>6</v>
      </c>
      <c r="H2" s="5" t="s">
        <v>51</v>
      </c>
      <c r="I2" s="7"/>
      <c r="J2" s="8" t="s">
        <v>53</v>
      </c>
      <c r="K2" s="8" t="s">
        <v>131</v>
      </c>
      <c r="L2" s="5" t="s">
        <v>54</v>
      </c>
      <c r="M2" s="5" t="s">
        <v>0</v>
      </c>
      <c r="N2" s="7"/>
      <c r="O2" s="8" t="s">
        <v>133</v>
      </c>
      <c r="P2" s="8" t="s">
        <v>54</v>
      </c>
      <c r="Q2" s="5" t="s">
        <v>51</v>
      </c>
      <c r="R2" s="5" t="s">
        <v>0</v>
      </c>
      <c r="S2" s="7"/>
      <c r="T2" s="8" t="s">
        <v>133</v>
      </c>
      <c r="U2" s="8" t="s">
        <v>54</v>
      </c>
      <c r="V2" s="5" t="s">
        <v>51</v>
      </c>
      <c r="W2" s="5" t="s">
        <v>0</v>
      </c>
      <c r="X2" s="7"/>
      <c r="Y2" s="8" t="s">
        <v>133</v>
      </c>
      <c r="Z2" s="8" t="s">
        <v>54</v>
      </c>
      <c r="AA2" s="5" t="s">
        <v>51</v>
      </c>
      <c r="AB2" s="5" t="s">
        <v>0</v>
      </c>
      <c r="AC2" s="7"/>
      <c r="AD2" s="9" t="s">
        <v>0</v>
      </c>
    </row>
    <row r="3" spans="2:30" ht="29.15" x14ac:dyDescent="0.4">
      <c r="B3" s="17" t="s">
        <v>108</v>
      </c>
      <c r="C3" s="36" t="s">
        <v>47</v>
      </c>
      <c r="D3" s="23" t="s">
        <v>130</v>
      </c>
      <c r="E3" s="18" t="s">
        <v>130</v>
      </c>
      <c r="F3" s="18" t="s">
        <v>149</v>
      </c>
      <c r="G3" s="18" t="s">
        <v>48</v>
      </c>
      <c r="H3" s="10" t="s">
        <v>146</v>
      </c>
      <c r="I3" s="11"/>
      <c r="L3" s="12"/>
      <c r="M3" s="12"/>
      <c r="N3" s="13"/>
      <c r="Q3" s="10" t="s">
        <v>146</v>
      </c>
      <c r="V3" s="10" t="s">
        <v>146</v>
      </c>
      <c r="AA3" s="10" t="s">
        <v>146</v>
      </c>
      <c r="AD3" s="29" t="s">
        <v>155</v>
      </c>
    </row>
    <row r="4" spans="2:30" x14ac:dyDescent="0.4">
      <c r="B4" s="17" t="s">
        <v>109</v>
      </c>
      <c r="C4" s="37"/>
      <c r="D4" s="23" t="s">
        <v>111</v>
      </c>
      <c r="E4" s="18" t="s">
        <v>49</v>
      </c>
      <c r="F4" s="18" t="s">
        <v>110</v>
      </c>
      <c r="G4" s="18" t="s">
        <v>48</v>
      </c>
      <c r="H4" s="10" t="s">
        <v>146</v>
      </c>
      <c r="I4" s="11"/>
      <c r="L4" s="12"/>
      <c r="M4" s="12"/>
      <c r="N4" s="13"/>
      <c r="Q4" s="10" t="s">
        <v>146</v>
      </c>
      <c r="V4" s="10" t="s">
        <v>146</v>
      </c>
      <c r="AA4" s="10" t="s">
        <v>146</v>
      </c>
    </row>
    <row r="5" spans="2:30" x14ac:dyDescent="0.4">
      <c r="B5" s="17" t="s">
        <v>129</v>
      </c>
      <c r="C5" s="38"/>
      <c r="D5" s="23" t="s">
        <v>111</v>
      </c>
      <c r="E5" s="18" t="s">
        <v>38</v>
      </c>
      <c r="F5" s="18" t="s">
        <v>132</v>
      </c>
      <c r="G5" s="18" t="s">
        <v>48</v>
      </c>
      <c r="H5" s="10" t="s">
        <v>146</v>
      </c>
      <c r="I5" s="11"/>
      <c r="L5" s="12"/>
      <c r="M5" s="12"/>
      <c r="N5" s="13"/>
      <c r="Q5" s="10" t="s">
        <v>146</v>
      </c>
      <c r="V5" s="10" t="s">
        <v>146</v>
      </c>
      <c r="AA5" s="10" t="s">
        <v>146</v>
      </c>
    </row>
    <row r="6" spans="2:30" x14ac:dyDescent="0.4">
      <c r="B6" s="19"/>
      <c r="C6" s="26"/>
      <c r="D6" s="24"/>
      <c r="E6" s="19"/>
      <c r="F6" s="24"/>
      <c r="G6" s="24"/>
      <c r="H6" s="2"/>
      <c r="J6" s="14"/>
      <c r="K6" s="14"/>
      <c r="L6" s="2"/>
      <c r="M6" s="2"/>
      <c r="O6" s="14"/>
      <c r="P6" s="14"/>
      <c r="Q6" s="14"/>
      <c r="R6" s="2"/>
      <c r="T6" s="14"/>
      <c r="U6" s="14"/>
      <c r="V6" s="14"/>
      <c r="W6" s="2"/>
      <c r="Y6" s="14"/>
      <c r="Z6" s="14"/>
      <c r="AA6" s="14"/>
      <c r="AB6" s="2"/>
      <c r="AD6" s="15"/>
    </row>
    <row r="7" spans="2:30" x14ac:dyDescent="0.4">
      <c r="B7" s="17" t="s">
        <v>7</v>
      </c>
      <c r="C7" s="34" t="s">
        <v>9</v>
      </c>
      <c r="D7" s="18" t="s">
        <v>60</v>
      </c>
      <c r="E7" s="18" t="s">
        <v>32</v>
      </c>
      <c r="F7" s="18" t="s">
        <v>52</v>
      </c>
      <c r="G7" s="18" t="s">
        <v>20</v>
      </c>
      <c r="H7" s="10" t="s">
        <v>146</v>
      </c>
      <c r="I7" s="11"/>
      <c r="J7" s="3">
        <v>12</v>
      </c>
      <c r="K7" s="3" t="s">
        <v>134</v>
      </c>
      <c r="L7" s="12">
        <v>0.05</v>
      </c>
      <c r="M7" s="12"/>
      <c r="N7" s="13"/>
      <c r="O7" s="3">
        <v>12.034000000000001</v>
      </c>
      <c r="P7" s="16">
        <f>(O7-$J7)/$J7</f>
        <v>2.8333333333333912E-3</v>
      </c>
      <c r="Q7" s="10" t="s">
        <v>146</v>
      </c>
      <c r="S7" s="25"/>
      <c r="T7" s="3">
        <v>12.026999999999999</v>
      </c>
      <c r="U7" s="16">
        <f>(T7-$J7)/$J7</f>
        <v>2.2499999999999374E-3</v>
      </c>
      <c r="V7" s="10" t="s">
        <v>146</v>
      </c>
      <c r="X7" s="25"/>
      <c r="Y7" s="3">
        <v>12.025</v>
      </c>
      <c r="Z7" s="16">
        <f>(Y7-$J7)/$J7</f>
        <v>2.0833333333333628E-3</v>
      </c>
      <c r="AA7" s="10" t="s">
        <v>146</v>
      </c>
      <c r="AC7" s="25"/>
    </row>
    <row r="8" spans="2:30" x14ac:dyDescent="0.4">
      <c r="B8" s="17" t="s">
        <v>8</v>
      </c>
      <c r="C8" s="35"/>
      <c r="D8" s="18" t="s">
        <v>59</v>
      </c>
      <c r="E8" s="18" t="s">
        <v>37</v>
      </c>
      <c r="F8" s="18" t="s">
        <v>56</v>
      </c>
      <c r="G8" s="18" t="s">
        <v>27</v>
      </c>
      <c r="H8" s="10" t="s">
        <v>146</v>
      </c>
      <c r="I8" s="11"/>
      <c r="J8" s="3">
        <v>5</v>
      </c>
      <c r="K8" s="3" t="s">
        <v>134</v>
      </c>
      <c r="L8" s="12">
        <v>0.05</v>
      </c>
      <c r="M8" s="12"/>
      <c r="N8" s="13"/>
      <c r="O8" s="3">
        <v>4.9889999999999999</v>
      </c>
      <c r="P8" s="16">
        <f t="shared" ref="P8:P29" si="0">(O8-$J8)/$J8</f>
        <v>-2.200000000000024E-3</v>
      </c>
      <c r="Q8" s="10" t="s">
        <v>146</v>
      </c>
      <c r="T8" s="3">
        <v>4.9870000000000001</v>
      </c>
      <c r="U8" s="16">
        <f t="shared" ref="U8:U29" si="1">(T8-$J8)/$J8</f>
        <v>-2.5999999999999799E-3</v>
      </c>
      <c r="V8" s="10" t="s">
        <v>146</v>
      </c>
      <c r="Y8" s="3">
        <v>4.9859999999999998</v>
      </c>
      <c r="Z8" s="16">
        <f t="shared" ref="Z8:Z29" si="2">(Y8-$J8)/$J8</f>
        <v>-2.8000000000000468E-3</v>
      </c>
      <c r="AA8" s="10" t="s">
        <v>146</v>
      </c>
    </row>
    <row r="9" spans="2:30" x14ac:dyDescent="0.4">
      <c r="B9" s="17" t="s">
        <v>89</v>
      </c>
      <c r="C9" s="35"/>
      <c r="D9" s="18" t="s">
        <v>57</v>
      </c>
      <c r="E9" s="18" t="s">
        <v>29</v>
      </c>
      <c r="F9" s="18" t="s">
        <v>55</v>
      </c>
      <c r="G9" s="18" t="s">
        <v>10</v>
      </c>
      <c r="H9" s="10" t="s">
        <v>146</v>
      </c>
      <c r="I9" s="11"/>
      <c r="J9" s="3">
        <v>5</v>
      </c>
      <c r="K9" s="3" t="s">
        <v>134</v>
      </c>
      <c r="L9" s="12">
        <v>0.01</v>
      </c>
      <c r="M9" s="12"/>
      <c r="N9" s="13"/>
      <c r="O9" s="3">
        <v>4.9880000000000004</v>
      </c>
      <c r="P9" s="16">
        <f t="shared" si="0"/>
        <v>-2.3999999999999135E-3</v>
      </c>
      <c r="Q9" s="10" t="s">
        <v>146</v>
      </c>
      <c r="T9" s="3">
        <v>5.0339999999999998</v>
      </c>
      <c r="U9" s="16">
        <f t="shared" si="1"/>
        <v>6.7999999999999615E-3</v>
      </c>
      <c r="V9" s="10" t="s">
        <v>146</v>
      </c>
      <c r="Y9" s="3">
        <v>5.0449999999999999</v>
      </c>
      <c r="Z9" s="16">
        <f t="shared" si="2"/>
        <v>8.9999999999999854E-3</v>
      </c>
      <c r="AA9" s="10" t="s">
        <v>146</v>
      </c>
      <c r="AD9" s="17"/>
    </row>
    <row r="10" spans="2:30" x14ac:dyDescent="0.4">
      <c r="B10" s="17" t="s">
        <v>90</v>
      </c>
      <c r="C10" s="35"/>
      <c r="D10" s="18" t="s">
        <v>58</v>
      </c>
      <c r="E10" s="18" t="s">
        <v>30</v>
      </c>
      <c r="F10" s="18" t="s">
        <v>61</v>
      </c>
      <c r="G10" s="18" t="s">
        <v>19</v>
      </c>
      <c r="H10" s="10" t="s">
        <v>146</v>
      </c>
      <c r="I10" s="11"/>
      <c r="J10" s="3">
        <v>3.3</v>
      </c>
      <c r="K10" s="3" t="s">
        <v>134</v>
      </c>
      <c r="L10" s="12">
        <v>2.5000000000000001E-2</v>
      </c>
      <c r="M10" s="12"/>
      <c r="N10" s="13"/>
      <c r="O10" s="3">
        <v>3.34</v>
      </c>
      <c r="P10" s="16">
        <f t="shared" si="0"/>
        <v>1.2121212121212133E-2</v>
      </c>
      <c r="Q10" s="10" t="s">
        <v>146</v>
      </c>
      <c r="T10" s="3">
        <v>3.3410000000000002</v>
      </c>
      <c r="U10" s="16">
        <f t="shared" si="1"/>
        <v>1.2424242424242537E-2</v>
      </c>
      <c r="V10" s="10" t="s">
        <v>146</v>
      </c>
      <c r="Y10" s="3">
        <v>3.3410000000000002</v>
      </c>
      <c r="Z10" s="16">
        <f t="shared" si="2"/>
        <v>1.2424242424242537E-2</v>
      </c>
      <c r="AA10" s="10" t="s">
        <v>146</v>
      </c>
      <c r="AD10" s="17"/>
    </row>
    <row r="11" spans="2:30" x14ac:dyDescent="0.4">
      <c r="B11" s="17" t="s">
        <v>91</v>
      </c>
      <c r="C11" s="35"/>
      <c r="D11" s="18" t="s">
        <v>65</v>
      </c>
      <c r="E11" s="18" t="s">
        <v>36</v>
      </c>
      <c r="F11" s="18" t="s">
        <v>66</v>
      </c>
      <c r="G11" s="18" t="s">
        <v>26</v>
      </c>
      <c r="H11" s="10" t="s">
        <v>146</v>
      </c>
      <c r="I11" s="11"/>
      <c r="J11" s="3">
        <v>3.3</v>
      </c>
      <c r="K11" s="3" t="s">
        <v>134</v>
      </c>
      <c r="L11" s="12">
        <v>2.5000000000000001E-2</v>
      </c>
      <c r="M11" s="12"/>
      <c r="N11" s="13"/>
      <c r="O11" s="3">
        <v>3.3410000000000002</v>
      </c>
      <c r="P11" s="16">
        <f t="shared" si="0"/>
        <v>1.2424242424242537E-2</v>
      </c>
      <c r="Q11" s="10" t="s">
        <v>146</v>
      </c>
      <c r="T11" s="3">
        <v>3.3420000000000001</v>
      </c>
      <c r="U11" s="16">
        <f t="shared" si="1"/>
        <v>1.2727272727272806E-2</v>
      </c>
      <c r="V11" s="10" t="s">
        <v>146</v>
      </c>
      <c r="Y11" s="3">
        <v>3.3420000000000001</v>
      </c>
      <c r="Z11" s="16">
        <f t="shared" si="2"/>
        <v>1.2727272727272806E-2</v>
      </c>
      <c r="AA11" s="10" t="s">
        <v>146</v>
      </c>
      <c r="AD11" s="17"/>
    </row>
    <row r="12" spans="2:30" x14ac:dyDescent="0.4">
      <c r="B12" s="17" t="s">
        <v>92</v>
      </c>
      <c r="C12" s="35"/>
      <c r="D12" s="18" t="s">
        <v>62</v>
      </c>
      <c r="E12" s="18" t="s">
        <v>63</v>
      </c>
      <c r="F12" s="18" t="s">
        <v>64</v>
      </c>
      <c r="G12" s="18" t="s">
        <v>135</v>
      </c>
      <c r="H12" s="10" t="s">
        <v>146</v>
      </c>
      <c r="I12" s="11"/>
      <c r="J12" s="3">
        <v>2.5</v>
      </c>
      <c r="K12" s="3" t="s">
        <v>134</v>
      </c>
      <c r="L12" s="12">
        <v>1.4E-3</v>
      </c>
      <c r="M12" s="12"/>
      <c r="N12" s="13"/>
      <c r="O12" s="3">
        <v>2.4969999999999999</v>
      </c>
      <c r="P12" s="16">
        <f t="shared" si="0"/>
        <v>-1.2000000000000454E-3</v>
      </c>
      <c r="Q12" s="10" t="s">
        <v>146</v>
      </c>
      <c r="T12" s="3">
        <v>2.4969999999999999</v>
      </c>
      <c r="U12" s="16">
        <f t="shared" si="1"/>
        <v>-1.2000000000000454E-3</v>
      </c>
      <c r="V12" s="10" t="s">
        <v>146</v>
      </c>
      <c r="Y12" s="3">
        <v>2.4969999999999999</v>
      </c>
      <c r="Z12" s="16">
        <f t="shared" si="2"/>
        <v>-1.2000000000000454E-3</v>
      </c>
      <c r="AA12" s="10" t="s">
        <v>146</v>
      </c>
      <c r="AD12" s="17"/>
    </row>
    <row r="13" spans="2:30" ht="29.15" x14ac:dyDescent="0.4">
      <c r="B13" s="17" t="s">
        <v>93</v>
      </c>
      <c r="C13" s="35"/>
      <c r="D13" s="18" t="s">
        <v>67</v>
      </c>
      <c r="E13" s="18" t="s">
        <v>68</v>
      </c>
      <c r="F13" s="18" t="s">
        <v>71</v>
      </c>
      <c r="G13" s="18" t="s">
        <v>22</v>
      </c>
      <c r="H13" s="10" t="s">
        <v>146</v>
      </c>
      <c r="I13" s="11"/>
      <c r="J13" s="3">
        <v>1.8</v>
      </c>
      <c r="K13" s="3" t="s">
        <v>134</v>
      </c>
      <c r="L13" s="12">
        <v>2.5000000000000001E-2</v>
      </c>
      <c r="M13" s="12"/>
      <c r="N13" s="13"/>
      <c r="O13" s="3">
        <v>1.7809999999999999</v>
      </c>
      <c r="P13" s="16">
        <f t="shared" si="0"/>
        <v>-1.0555555555555627E-2</v>
      </c>
      <c r="Q13" s="10" t="s">
        <v>146</v>
      </c>
      <c r="T13" s="3">
        <v>1.7749999999999999</v>
      </c>
      <c r="U13" s="16">
        <f t="shared" si="1"/>
        <v>-1.3888888888888963E-2</v>
      </c>
      <c r="V13" s="10" t="s">
        <v>146</v>
      </c>
      <c r="Y13" s="3">
        <v>1.7849999999999999</v>
      </c>
      <c r="Z13" s="16">
        <f t="shared" si="2"/>
        <v>-8.3333333333334026E-3</v>
      </c>
      <c r="AA13" s="10" t="s">
        <v>146</v>
      </c>
      <c r="AD13" s="17"/>
    </row>
    <row r="14" spans="2:30" x14ac:dyDescent="0.4">
      <c r="B14" s="17" t="s">
        <v>94</v>
      </c>
      <c r="C14" s="35"/>
      <c r="D14" s="18" t="s">
        <v>69</v>
      </c>
      <c r="E14" s="18" t="s">
        <v>34</v>
      </c>
      <c r="F14" s="18" t="s">
        <v>72</v>
      </c>
      <c r="G14" s="18" t="s">
        <v>23</v>
      </c>
      <c r="H14" s="10" t="s">
        <v>146</v>
      </c>
      <c r="I14" s="11"/>
      <c r="J14" s="3">
        <v>1.5</v>
      </c>
      <c r="K14" s="3" t="s">
        <v>134</v>
      </c>
      <c r="L14" s="12">
        <v>0.01</v>
      </c>
      <c r="M14" s="12"/>
      <c r="N14" s="13"/>
      <c r="O14" s="3">
        <v>1.5</v>
      </c>
      <c r="P14" s="16">
        <f t="shared" si="0"/>
        <v>0</v>
      </c>
      <c r="Q14" s="10" t="s">
        <v>146</v>
      </c>
      <c r="T14" s="3">
        <v>1.498</v>
      </c>
      <c r="U14" s="16">
        <f t="shared" si="1"/>
        <v>-1.3333333333333346E-3</v>
      </c>
      <c r="V14" s="10" t="s">
        <v>146</v>
      </c>
      <c r="Y14" s="3">
        <v>1.4950000000000001</v>
      </c>
      <c r="Z14" s="16">
        <f t="shared" si="2"/>
        <v>-3.3333333333332624E-3</v>
      </c>
      <c r="AA14" s="10" t="s">
        <v>146</v>
      </c>
      <c r="AD14" s="30" t="s">
        <v>156</v>
      </c>
    </row>
    <row r="15" spans="2:30" x14ac:dyDescent="0.4">
      <c r="B15" s="17" t="s">
        <v>95</v>
      </c>
      <c r="C15" s="35"/>
      <c r="D15" s="18" t="s">
        <v>69</v>
      </c>
      <c r="E15" s="18" t="s">
        <v>34</v>
      </c>
      <c r="F15" s="18" t="s">
        <v>74</v>
      </c>
      <c r="G15" s="18" t="s">
        <v>23</v>
      </c>
      <c r="H15" s="10" t="s">
        <v>146</v>
      </c>
      <c r="I15" s="11"/>
      <c r="J15" s="3">
        <v>1.8</v>
      </c>
      <c r="K15" s="3" t="s">
        <v>134</v>
      </c>
      <c r="L15" s="12">
        <v>0.01</v>
      </c>
      <c r="M15" s="12"/>
      <c r="N15" s="13"/>
      <c r="O15" s="3">
        <v>1.8009999999999999</v>
      </c>
      <c r="P15" s="16">
        <f t="shared" si="0"/>
        <v>5.5555555555549441E-4</v>
      </c>
      <c r="Q15" s="10" t="s">
        <v>146</v>
      </c>
      <c r="T15" s="3">
        <v>1.8</v>
      </c>
      <c r="U15" s="16">
        <f t="shared" si="1"/>
        <v>0</v>
      </c>
      <c r="V15" s="10" t="s">
        <v>146</v>
      </c>
      <c r="Y15" s="3">
        <v>1.798</v>
      </c>
      <c r="Z15" s="16">
        <f t="shared" si="2"/>
        <v>-1.111111111111112E-3</v>
      </c>
      <c r="AA15" s="10" t="s">
        <v>146</v>
      </c>
      <c r="AD15" s="30" t="s">
        <v>156</v>
      </c>
    </row>
    <row r="16" spans="2:30" x14ac:dyDescent="0.4">
      <c r="B16" s="17" t="s">
        <v>96</v>
      </c>
      <c r="C16" s="35"/>
      <c r="D16" s="18" t="s">
        <v>69</v>
      </c>
      <c r="E16" s="18" t="s">
        <v>34</v>
      </c>
      <c r="F16" s="18" t="s">
        <v>75</v>
      </c>
      <c r="G16" s="18" t="s">
        <v>23</v>
      </c>
      <c r="H16" s="10" t="s">
        <v>146</v>
      </c>
      <c r="I16" s="11"/>
      <c r="J16" s="3">
        <v>2.5</v>
      </c>
      <c r="K16" s="3" t="s">
        <v>134</v>
      </c>
      <c r="L16" s="12">
        <v>0.01</v>
      </c>
      <c r="M16" s="12"/>
      <c r="N16" s="13"/>
      <c r="O16" s="3">
        <v>2.5099999999999998</v>
      </c>
      <c r="P16" s="16">
        <f t="shared" si="0"/>
        <v>3.9999999999999151E-3</v>
      </c>
      <c r="Q16" s="10" t="s">
        <v>146</v>
      </c>
      <c r="T16" s="3">
        <v>2.4980000000000002</v>
      </c>
      <c r="U16" s="16">
        <f t="shared" si="1"/>
        <v>-7.9999999999991189E-4</v>
      </c>
      <c r="V16" s="10" t="s">
        <v>146</v>
      </c>
      <c r="Y16" s="3">
        <v>2.4910000000000001</v>
      </c>
      <c r="Z16" s="16">
        <f t="shared" si="2"/>
        <v>-3.5999999999999587E-3</v>
      </c>
      <c r="AA16" s="10" t="s">
        <v>146</v>
      </c>
      <c r="AD16" s="30" t="s">
        <v>156</v>
      </c>
    </row>
    <row r="17" spans="2:30" x14ac:dyDescent="0.4">
      <c r="B17" s="17" t="s">
        <v>97</v>
      </c>
      <c r="C17" s="35"/>
      <c r="D17" s="18" t="s">
        <v>69</v>
      </c>
      <c r="E17" s="18" t="s">
        <v>34</v>
      </c>
      <c r="F17" s="18" t="s">
        <v>76</v>
      </c>
      <c r="G17" s="18" t="s">
        <v>23</v>
      </c>
      <c r="H17" s="10" t="s">
        <v>146</v>
      </c>
      <c r="I17" s="11"/>
      <c r="J17" s="3">
        <v>3.3</v>
      </c>
      <c r="K17" s="3" t="s">
        <v>134</v>
      </c>
      <c r="L17" s="12">
        <v>0.01</v>
      </c>
      <c r="M17" s="12"/>
      <c r="N17" s="13"/>
      <c r="O17" s="3">
        <v>3.31</v>
      </c>
      <c r="P17" s="16">
        <f t="shared" si="0"/>
        <v>3.0303030303031006E-3</v>
      </c>
      <c r="Q17" s="10" t="s">
        <v>146</v>
      </c>
      <c r="T17" s="3">
        <v>3.298</v>
      </c>
      <c r="U17" s="16">
        <f t="shared" si="1"/>
        <v>-6.0606060606053938E-4</v>
      </c>
      <c r="V17" s="10" t="s">
        <v>146</v>
      </c>
      <c r="Y17" s="3">
        <v>3.29</v>
      </c>
      <c r="Z17" s="16">
        <f t="shared" si="2"/>
        <v>-3.0303030303029657E-3</v>
      </c>
      <c r="AA17" s="10" t="s">
        <v>146</v>
      </c>
      <c r="AD17" s="30" t="s">
        <v>156</v>
      </c>
    </row>
    <row r="18" spans="2:30" x14ac:dyDescent="0.4">
      <c r="B18" s="17" t="s">
        <v>98</v>
      </c>
      <c r="C18" s="35"/>
      <c r="D18" s="18" t="s">
        <v>70</v>
      </c>
      <c r="E18" s="18" t="s">
        <v>35</v>
      </c>
      <c r="F18" s="18" t="s">
        <v>73</v>
      </c>
      <c r="G18" s="18" t="s">
        <v>25</v>
      </c>
      <c r="H18" s="10" t="s">
        <v>146</v>
      </c>
      <c r="I18" s="11"/>
      <c r="J18" s="3">
        <v>1.5</v>
      </c>
      <c r="K18" s="3" t="s">
        <v>134</v>
      </c>
      <c r="L18" s="12">
        <v>0.01</v>
      </c>
      <c r="M18" s="12"/>
      <c r="N18" s="13"/>
      <c r="O18" s="3">
        <v>1.508</v>
      </c>
      <c r="P18" s="16">
        <f t="shared" si="0"/>
        <v>5.3333333333333384E-3</v>
      </c>
      <c r="Q18" s="10" t="s">
        <v>146</v>
      </c>
      <c r="T18" s="3">
        <v>1.5069999999999999</v>
      </c>
      <c r="U18" s="16">
        <f t="shared" si="1"/>
        <v>4.6666666666665968E-3</v>
      </c>
      <c r="V18" s="10" t="s">
        <v>146</v>
      </c>
      <c r="Y18" s="3">
        <v>1.5089999999999999</v>
      </c>
      <c r="Z18" s="16">
        <f t="shared" si="2"/>
        <v>5.9999999999999316E-3</v>
      </c>
      <c r="AA18" s="10" t="s">
        <v>146</v>
      </c>
      <c r="AD18" s="30" t="s">
        <v>156</v>
      </c>
    </row>
    <row r="19" spans="2:30" x14ac:dyDescent="0.4">
      <c r="B19" s="17" t="s">
        <v>99</v>
      </c>
      <c r="C19" s="35"/>
      <c r="D19" s="18" t="s">
        <v>70</v>
      </c>
      <c r="E19" s="18" t="s">
        <v>35</v>
      </c>
      <c r="F19" s="18" t="s">
        <v>77</v>
      </c>
      <c r="G19" s="18" t="s">
        <v>25</v>
      </c>
      <c r="H19" s="10" t="s">
        <v>146</v>
      </c>
      <c r="I19" s="11"/>
      <c r="J19" s="3">
        <v>1.8</v>
      </c>
      <c r="K19" s="3" t="s">
        <v>134</v>
      </c>
      <c r="L19" s="12">
        <v>0.01</v>
      </c>
      <c r="M19" s="12"/>
      <c r="N19" s="13"/>
      <c r="O19" s="3">
        <v>1.806</v>
      </c>
      <c r="P19" s="16">
        <f t="shared" si="0"/>
        <v>3.3333333333333361E-3</v>
      </c>
      <c r="Q19" s="10" t="s">
        <v>146</v>
      </c>
      <c r="T19" s="3">
        <v>1.804</v>
      </c>
      <c r="U19" s="16">
        <f t="shared" si="1"/>
        <v>2.222222222222224E-3</v>
      </c>
      <c r="V19" s="10" t="s">
        <v>146</v>
      </c>
      <c r="Y19" s="3">
        <v>1.8069999999999999</v>
      </c>
      <c r="Z19" s="16">
        <f t="shared" si="2"/>
        <v>3.8888888888888307E-3</v>
      </c>
      <c r="AA19" s="10" t="s">
        <v>146</v>
      </c>
      <c r="AD19" s="30" t="s">
        <v>156</v>
      </c>
    </row>
    <row r="20" spans="2:30" x14ac:dyDescent="0.4">
      <c r="B20" s="17" t="s">
        <v>136</v>
      </c>
      <c r="C20" s="35"/>
      <c r="D20" s="18" t="s">
        <v>70</v>
      </c>
      <c r="E20" s="18" t="s">
        <v>35</v>
      </c>
      <c r="F20" s="18" t="s">
        <v>78</v>
      </c>
      <c r="G20" s="18" t="s">
        <v>25</v>
      </c>
      <c r="H20" s="10" t="s">
        <v>146</v>
      </c>
      <c r="I20" s="11"/>
      <c r="J20" s="3">
        <v>2.5</v>
      </c>
      <c r="K20" s="3" t="s">
        <v>134</v>
      </c>
      <c r="L20" s="12">
        <v>0.01</v>
      </c>
      <c r="M20" s="12"/>
      <c r="N20" s="13"/>
      <c r="O20" s="3">
        <v>2.4900000000000002</v>
      </c>
      <c r="P20" s="16">
        <f t="shared" si="0"/>
        <v>-3.9999999999999151E-3</v>
      </c>
      <c r="Q20" s="10" t="s">
        <v>146</v>
      </c>
      <c r="T20" s="3">
        <v>2.492</v>
      </c>
      <c r="U20" s="16">
        <f t="shared" si="1"/>
        <v>-3.2000000000000028E-3</v>
      </c>
      <c r="V20" s="10" t="s">
        <v>146</v>
      </c>
      <c r="Y20" s="3">
        <v>2.496</v>
      </c>
      <c r="Z20" s="16">
        <f t="shared" si="2"/>
        <v>-1.6000000000000014E-3</v>
      </c>
      <c r="AA20" s="10" t="s">
        <v>146</v>
      </c>
      <c r="AD20" s="30" t="s">
        <v>156</v>
      </c>
    </row>
    <row r="21" spans="2:30" x14ac:dyDescent="0.4">
      <c r="B21" s="17" t="s">
        <v>100</v>
      </c>
      <c r="C21" s="35"/>
      <c r="D21" s="18" t="s">
        <v>70</v>
      </c>
      <c r="E21" s="18" t="s">
        <v>35</v>
      </c>
      <c r="F21" s="18" t="s">
        <v>79</v>
      </c>
      <c r="G21" s="18" t="s">
        <v>25</v>
      </c>
      <c r="H21" s="10" t="s">
        <v>146</v>
      </c>
      <c r="I21" s="11"/>
      <c r="J21" s="3">
        <v>3.3</v>
      </c>
      <c r="K21" s="3" t="s">
        <v>134</v>
      </c>
      <c r="L21" s="12">
        <v>0.01</v>
      </c>
      <c r="M21" s="12"/>
      <c r="N21" s="13"/>
      <c r="O21" s="3">
        <v>3.28</v>
      </c>
      <c r="P21" s="16">
        <f t="shared" si="0"/>
        <v>-6.0606060606060667E-3</v>
      </c>
      <c r="Q21" s="10" t="s">
        <v>146</v>
      </c>
      <c r="T21" s="3">
        <v>3.2890000000000001</v>
      </c>
      <c r="U21" s="16">
        <f t="shared" si="1"/>
        <v>-3.3333333333332355E-3</v>
      </c>
      <c r="V21" s="10" t="s">
        <v>146</v>
      </c>
      <c r="Y21" s="3">
        <v>3.2919999999999998</v>
      </c>
      <c r="Z21" s="16">
        <f t="shared" si="2"/>
        <v>-2.4242424242424264E-3</v>
      </c>
      <c r="AA21" s="10" t="s">
        <v>146</v>
      </c>
      <c r="AD21" s="30" t="s">
        <v>156</v>
      </c>
    </row>
    <row r="22" spans="2:30" x14ac:dyDescent="0.4">
      <c r="B22" s="17" t="s">
        <v>101</v>
      </c>
      <c r="C22" s="35"/>
      <c r="D22" s="23" t="s">
        <v>80</v>
      </c>
      <c r="E22" s="18" t="s">
        <v>31</v>
      </c>
      <c r="F22" s="18" t="s">
        <v>83</v>
      </c>
      <c r="G22" s="23" t="s">
        <v>18</v>
      </c>
      <c r="H22" s="10" t="s">
        <v>146</v>
      </c>
      <c r="I22" s="11"/>
      <c r="J22" s="3">
        <v>1.2</v>
      </c>
      <c r="K22" s="3" t="s">
        <v>134</v>
      </c>
      <c r="L22" s="12">
        <v>0.01</v>
      </c>
      <c r="M22" s="12"/>
      <c r="N22" s="13"/>
      <c r="O22" s="3">
        <v>1.2</v>
      </c>
      <c r="P22" s="16">
        <f t="shared" si="0"/>
        <v>0</v>
      </c>
      <c r="Q22" s="10" t="s">
        <v>146</v>
      </c>
      <c r="T22" s="3">
        <v>1.2</v>
      </c>
      <c r="U22" s="16">
        <f t="shared" si="1"/>
        <v>0</v>
      </c>
      <c r="V22" s="10" t="s">
        <v>146</v>
      </c>
      <c r="Z22" s="16">
        <f t="shared" si="2"/>
        <v>-1</v>
      </c>
      <c r="AA22" s="10" t="s">
        <v>146</v>
      </c>
      <c r="AD22" s="17"/>
    </row>
    <row r="23" spans="2:30" x14ac:dyDescent="0.4">
      <c r="B23" s="17" t="s">
        <v>102</v>
      </c>
      <c r="C23" s="35"/>
      <c r="D23" s="23" t="s">
        <v>80</v>
      </c>
      <c r="E23" s="18" t="s">
        <v>31</v>
      </c>
      <c r="F23" s="18" t="s">
        <v>84</v>
      </c>
      <c r="G23" s="23" t="s">
        <v>17</v>
      </c>
      <c r="H23" s="10" t="s">
        <v>146</v>
      </c>
      <c r="I23" s="11"/>
      <c r="J23" s="3">
        <v>-1.2</v>
      </c>
      <c r="K23" s="3" t="s">
        <v>134</v>
      </c>
      <c r="L23" s="12">
        <v>0.01</v>
      </c>
      <c r="M23" s="12"/>
      <c r="N23" s="13"/>
      <c r="O23" s="3">
        <v>-1.1930000000000001</v>
      </c>
      <c r="P23" s="16">
        <f t="shared" si="0"/>
        <v>-5.833333333333246E-3</v>
      </c>
      <c r="Q23" s="10" t="s">
        <v>146</v>
      </c>
      <c r="T23" s="3">
        <v>-1.1919999999999999</v>
      </c>
      <c r="U23" s="16">
        <f t="shared" si="1"/>
        <v>-6.6666666666666732E-3</v>
      </c>
      <c r="V23" s="10" t="s">
        <v>146</v>
      </c>
      <c r="Z23" s="16">
        <f t="shared" si="2"/>
        <v>-1</v>
      </c>
      <c r="AA23" s="10" t="s">
        <v>146</v>
      </c>
      <c r="AD23" s="17"/>
    </row>
    <row r="24" spans="2:30" x14ac:dyDescent="0.4">
      <c r="B24" s="17" t="s">
        <v>103</v>
      </c>
      <c r="C24" s="35"/>
      <c r="D24" s="23" t="s">
        <v>80</v>
      </c>
      <c r="E24" s="18" t="s">
        <v>31</v>
      </c>
      <c r="F24" s="18" t="s">
        <v>85</v>
      </c>
      <c r="G24" s="23" t="s">
        <v>15</v>
      </c>
      <c r="H24" s="10" t="s">
        <v>146</v>
      </c>
      <c r="I24" s="11"/>
      <c r="J24" s="3">
        <v>1.2</v>
      </c>
      <c r="K24" s="3" t="s">
        <v>134</v>
      </c>
      <c r="L24" s="12">
        <v>0.01</v>
      </c>
      <c r="M24" s="12"/>
      <c r="N24" s="13"/>
      <c r="O24" s="3">
        <v>1.2</v>
      </c>
      <c r="P24" s="16">
        <f t="shared" si="0"/>
        <v>0</v>
      </c>
      <c r="Q24" s="10" t="s">
        <v>146</v>
      </c>
      <c r="T24" s="3">
        <v>1.1970000000000001</v>
      </c>
      <c r="U24" s="16">
        <f t="shared" si="1"/>
        <v>-2.4999999999999098E-3</v>
      </c>
      <c r="V24" s="10" t="s">
        <v>146</v>
      </c>
      <c r="Z24" s="16">
        <f t="shared" si="2"/>
        <v>-1</v>
      </c>
      <c r="AA24" s="10" t="s">
        <v>146</v>
      </c>
      <c r="AD24" s="17"/>
    </row>
    <row r="25" spans="2:30" x14ac:dyDescent="0.4">
      <c r="B25" s="17" t="s">
        <v>137</v>
      </c>
      <c r="C25" s="35"/>
      <c r="D25" s="23" t="s">
        <v>80</v>
      </c>
      <c r="E25" s="18" t="s">
        <v>31</v>
      </c>
      <c r="F25" s="18" t="s">
        <v>86</v>
      </c>
      <c r="G25" s="23" t="s">
        <v>16</v>
      </c>
      <c r="H25" s="10" t="s">
        <v>146</v>
      </c>
      <c r="I25" s="11"/>
      <c r="J25" s="3">
        <v>-1.2</v>
      </c>
      <c r="K25" s="3" t="s">
        <v>134</v>
      </c>
      <c r="L25" s="12">
        <v>0.01</v>
      </c>
      <c r="M25" s="12"/>
      <c r="N25" s="13"/>
      <c r="O25" s="3">
        <v>-1.1919999999999999</v>
      </c>
      <c r="P25" s="16">
        <f t="shared" si="0"/>
        <v>-6.6666666666666732E-3</v>
      </c>
      <c r="Q25" s="10" t="s">
        <v>146</v>
      </c>
      <c r="T25" s="3">
        <v>-1.1919999999999999</v>
      </c>
      <c r="U25" s="16">
        <f t="shared" si="1"/>
        <v>-6.6666666666666732E-3</v>
      </c>
      <c r="V25" s="10" t="s">
        <v>146</v>
      </c>
      <c r="Z25" s="16">
        <f t="shared" si="2"/>
        <v>-1</v>
      </c>
      <c r="AA25" s="10" t="s">
        <v>146</v>
      </c>
      <c r="AD25" s="17"/>
    </row>
    <row r="26" spans="2:30" x14ac:dyDescent="0.4">
      <c r="B26" s="17" t="s">
        <v>104</v>
      </c>
      <c r="C26" s="35"/>
      <c r="D26" s="23" t="s">
        <v>80</v>
      </c>
      <c r="E26" s="18" t="s">
        <v>31</v>
      </c>
      <c r="F26" s="18" t="s">
        <v>87</v>
      </c>
      <c r="G26" s="18" t="s">
        <v>11</v>
      </c>
      <c r="H26" s="10" t="s">
        <v>146</v>
      </c>
      <c r="I26" s="11"/>
      <c r="J26" s="3">
        <v>24</v>
      </c>
      <c r="K26" s="3" t="s">
        <v>134</v>
      </c>
      <c r="L26" s="12">
        <v>0.05</v>
      </c>
      <c r="M26" s="12"/>
      <c r="N26" s="13"/>
      <c r="O26" s="3">
        <v>23.405000000000001</v>
      </c>
      <c r="P26" s="16">
        <f t="shared" si="0"/>
        <v>-2.4791666666666618E-2</v>
      </c>
      <c r="Q26" s="10" t="s">
        <v>146</v>
      </c>
      <c r="T26" s="3">
        <v>23.283999999999999</v>
      </c>
      <c r="U26" s="16">
        <f t="shared" si="1"/>
        <v>-2.9833333333333378E-2</v>
      </c>
      <c r="V26" s="10" t="s">
        <v>146</v>
      </c>
      <c r="Z26" s="16">
        <f t="shared" si="2"/>
        <v>-1</v>
      </c>
      <c r="AA26" s="10" t="s">
        <v>146</v>
      </c>
      <c r="AD26" s="17"/>
    </row>
    <row r="27" spans="2:30" x14ac:dyDescent="0.4">
      <c r="B27" s="17" t="s">
        <v>105</v>
      </c>
      <c r="C27" s="35"/>
      <c r="D27" s="23" t="s">
        <v>80</v>
      </c>
      <c r="E27" s="18" t="s">
        <v>31</v>
      </c>
      <c r="F27" s="18" t="s">
        <v>88</v>
      </c>
      <c r="G27" s="18" t="s">
        <v>12</v>
      </c>
      <c r="H27" s="10" t="s">
        <v>146</v>
      </c>
      <c r="I27" s="11"/>
      <c r="J27" s="3">
        <v>-24</v>
      </c>
      <c r="K27" s="3" t="s">
        <v>134</v>
      </c>
      <c r="L27" s="12">
        <v>0.05</v>
      </c>
      <c r="M27" s="12"/>
      <c r="N27" s="13"/>
      <c r="O27" s="3">
        <v>-23.082000000000001</v>
      </c>
      <c r="P27" s="16">
        <f t="shared" si="0"/>
        <v>-3.8249999999999972E-2</v>
      </c>
      <c r="Q27" s="10" t="s">
        <v>146</v>
      </c>
      <c r="T27" s="3">
        <v>-22.864999999999998</v>
      </c>
      <c r="U27" s="16">
        <f t="shared" si="1"/>
        <v>-4.7291666666666732E-2</v>
      </c>
      <c r="V27" s="10" t="s">
        <v>146</v>
      </c>
      <c r="Z27" s="16">
        <f t="shared" si="2"/>
        <v>-1</v>
      </c>
      <c r="AA27" s="10" t="s">
        <v>146</v>
      </c>
      <c r="AD27" s="17"/>
    </row>
    <row r="28" spans="2:30" x14ac:dyDescent="0.4">
      <c r="B28" s="17" t="s">
        <v>106</v>
      </c>
      <c r="C28" s="35"/>
      <c r="D28" s="23" t="s">
        <v>80</v>
      </c>
      <c r="E28" s="18" t="s">
        <v>31</v>
      </c>
      <c r="F28" s="18" t="s">
        <v>81</v>
      </c>
      <c r="G28" s="23" t="s">
        <v>13</v>
      </c>
      <c r="H28" s="10" t="s">
        <v>146</v>
      </c>
      <c r="I28" s="11"/>
      <c r="J28" s="3">
        <v>18</v>
      </c>
      <c r="K28" s="3" t="s">
        <v>134</v>
      </c>
      <c r="L28" s="12">
        <v>0.01</v>
      </c>
      <c r="M28" s="12"/>
      <c r="N28" s="13"/>
      <c r="O28" s="3">
        <v>17.995000000000001</v>
      </c>
      <c r="P28" s="16">
        <f t="shared" si="0"/>
        <v>-2.7777777777772254E-4</v>
      </c>
      <c r="Q28" s="10" t="s">
        <v>146</v>
      </c>
      <c r="T28" s="3">
        <v>17.943000000000001</v>
      </c>
      <c r="U28" s="16">
        <f t="shared" si="1"/>
        <v>-3.1666666666665894E-3</v>
      </c>
      <c r="V28" s="10" t="s">
        <v>146</v>
      </c>
      <c r="Z28" s="16">
        <f t="shared" si="2"/>
        <v>-1</v>
      </c>
      <c r="AA28" s="10" t="s">
        <v>146</v>
      </c>
      <c r="AD28" s="17"/>
    </row>
    <row r="29" spans="2:30" x14ac:dyDescent="0.4">
      <c r="B29" s="17" t="s">
        <v>107</v>
      </c>
      <c r="C29" s="35"/>
      <c r="D29" s="23" t="s">
        <v>80</v>
      </c>
      <c r="E29" s="18" t="s">
        <v>31</v>
      </c>
      <c r="F29" s="18" t="s">
        <v>82</v>
      </c>
      <c r="G29" s="23" t="s">
        <v>14</v>
      </c>
      <c r="H29" s="10" t="s">
        <v>146</v>
      </c>
      <c r="I29" s="11"/>
      <c r="J29" s="3">
        <v>-18</v>
      </c>
      <c r="K29" s="3" t="s">
        <v>134</v>
      </c>
      <c r="L29" s="12">
        <v>0.01</v>
      </c>
      <c r="M29" s="12"/>
      <c r="N29" s="13"/>
      <c r="O29" s="3">
        <v>-17.905000000000001</v>
      </c>
      <c r="P29" s="16">
        <f t="shared" si="0"/>
        <v>-5.2777777777777146E-3</v>
      </c>
      <c r="Q29" s="10" t="s">
        <v>146</v>
      </c>
      <c r="T29" s="3">
        <v>-17.838999999999999</v>
      </c>
      <c r="U29" s="16">
        <f t="shared" si="1"/>
        <v>-8.9444444444445204E-3</v>
      </c>
      <c r="V29" s="10" t="s">
        <v>146</v>
      </c>
      <c r="Z29" s="16">
        <f t="shared" si="2"/>
        <v>-1</v>
      </c>
      <c r="AA29" s="10" t="s">
        <v>146</v>
      </c>
      <c r="AD29" s="17"/>
    </row>
    <row r="30" spans="2:30" x14ac:dyDescent="0.4">
      <c r="B30" s="19"/>
      <c r="C30" s="26"/>
      <c r="D30" s="24"/>
      <c r="E30" s="19"/>
      <c r="F30" s="24"/>
      <c r="G30" s="24"/>
      <c r="H30" s="2"/>
      <c r="J30" s="14"/>
      <c r="K30" s="14"/>
      <c r="L30" s="2"/>
      <c r="M30" s="2"/>
      <c r="O30" s="14"/>
      <c r="P30" s="14"/>
      <c r="Q30" s="14"/>
      <c r="R30" s="2"/>
      <c r="T30" s="14"/>
      <c r="U30" s="14"/>
      <c r="V30" s="14"/>
      <c r="W30" s="2"/>
      <c r="Y30" s="14"/>
      <c r="Z30" s="14"/>
      <c r="AA30" s="14"/>
      <c r="AB30" s="2"/>
      <c r="AD30" s="15"/>
    </row>
    <row r="31" spans="2:30" ht="29.15" x14ac:dyDescent="0.4">
      <c r="B31" s="17" t="s">
        <v>173</v>
      </c>
      <c r="C31" s="43" t="s">
        <v>164</v>
      </c>
      <c r="D31" s="23" t="s">
        <v>28</v>
      </c>
      <c r="E31" s="23" t="s">
        <v>28</v>
      </c>
      <c r="F31" s="18" t="s">
        <v>148</v>
      </c>
      <c r="G31" s="18" t="s">
        <v>115</v>
      </c>
      <c r="H31" s="10" t="s">
        <v>146</v>
      </c>
      <c r="Q31" s="10" t="s">
        <v>146</v>
      </c>
      <c r="V31" s="10" t="s">
        <v>146</v>
      </c>
      <c r="AA31" s="10" t="s">
        <v>146</v>
      </c>
      <c r="AD31" s="29" t="s">
        <v>147</v>
      </c>
    </row>
    <row r="32" spans="2:30" ht="72.900000000000006" x14ac:dyDescent="0.4">
      <c r="B32" s="17" t="s">
        <v>174</v>
      </c>
      <c r="C32" s="44"/>
      <c r="D32" s="23" t="s">
        <v>50</v>
      </c>
      <c r="E32" s="23" t="s">
        <v>40</v>
      </c>
      <c r="F32" s="18" t="s">
        <v>150</v>
      </c>
      <c r="G32" s="18" t="s">
        <v>139</v>
      </c>
      <c r="H32" s="28" t="s">
        <v>161</v>
      </c>
      <c r="Q32" s="27" t="s">
        <v>160</v>
      </c>
      <c r="V32" s="27" t="s">
        <v>160</v>
      </c>
      <c r="AA32" s="27" t="s">
        <v>160</v>
      </c>
      <c r="AD32" s="29" t="s">
        <v>151</v>
      </c>
    </row>
    <row r="33" spans="2:30" ht="29.15" x14ac:dyDescent="0.4">
      <c r="B33" s="17" t="s">
        <v>175</v>
      </c>
      <c r="C33" s="44"/>
      <c r="D33" s="23" t="s">
        <v>50</v>
      </c>
      <c r="E33" s="23" t="s">
        <v>40</v>
      </c>
      <c r="F33" s="18" t="s">
        <v>138</v>
      </c>
      <c r="G33" s="18" t="s">
        <v>139</v>
      </c>
      <c r="H33" s="10" t="s">
        <v>146</v>
      </c>
      <c r="Q33" s="10" t="s">
        <v>146</v>
      </c>
      <c r="V33" s="10" t="s">
        <v>146</v>
      </c>
      <c r="AA33" s="10" t="s">
        <v>146</v>
      </c>
    </row>
    <row r="34" spans="2:30" x14ac:dyDescent="0.4">
      <c r="B34" s="17" t="s">
        <v>176</v>
      </c>
      <c r="C34" s="44"/>
      <c r="D34" s="23" t="s">
        <v>50</v>
      </c>
      <c r="E34" s="23" t="s">
        <v>28</v>
      </c>
      <c r="F34" s="18" t="s">
        <v>152</v>
      </c>
      <c r="G34" s="18" t="s">
        <v>115</v>
      </c>
      <c r="H34" s="10" t="s">
        <v>146</v>
      </c>
      <c r="Q34" s="10" t="s">
        <v>146</v>
      </c>
      <c r="V34" s="10" t="s">
        <v>146</v>
      </c>
      <c r="AA34" s="10" t="s">
        <v>146</v>
      </c>
    </row>
    <row r="35" spans="2:30" x14ac:dyDescent="0.4">
      <c r="B35" s="17" t="s">
        <v>177</v>
      </c>
      <c r="C35" s="44"/>
      <c r="D35" s="23" t="s">
        <v>50</v>
      </c>
      <c r="E35" s="23" t="s">
        <v>142</v>
      </c>
      <c r="F35" s="18" t="s">
        <v>143</v>
      </c>
      <c r="G35" s="18" t="s">
        <v>41</v>
      </c>
    </row>
    <row r="36" spans="2:30" ht="29.15" x14ac:dyDescent="0.4">
      <c r="B36" s="17" t="s">
        <v>178</v>
      </c>
      <c r="C36" s="45"/>
      <c r="D36" s="23" t="s">
        <v>140</v>
      </c>
      <c r="E36" s="23" t="s">
        <v>21</v>
      </c>
      <c r="F36" s="18" t="s">
        <v>141</v>
      </c>
      <c r="G36" s="18" t="s">
        <v>114</v>
      </c>
      <c r="H36" s="10" t="s">
        <v>146</v>
      </c>
      <c r="Q36" s="10" t="s">
        <v>146</v>
      </c>
      <c r="V36" s="10" t="s">
        <v>146</v>
      </c>
      <c r="AA36" s="10" t="s">
        <v>146</v>
      </c>
    </row>
    <row r="37" spans="2:30" x14ac:dyDescent="0.4">
      <c r="B37" s="17" t="s">
        <v>179</v>
      </c>
      <c r="C37" s="45"/>
      <c r="D37" s="23" t="s">
        <v>140</v>
      </c>
      <c r="E37" s="23" t="s">
        <v>21</v>
      </c>
      <c r="F37" s="18" t="s">
        <v>144</v>
      </c>
      <c r="G37" s="18" t="s">
        <v>41</v>
      </c>
    </row>
    <row r="38" spans="2:30" x14ac:dyDescent="0.4">
      <c r="B38" s="17" t="s">
        <v>180</v>
      </c>
      <c r="C38" s="45"/>
      <c r="D38" s="18" t="s">
        <v>33</v>
      </c>
      <c r="E38" s="18" t="s">
        <v>33</v>
      </c>
      <c r="F38" s="18" t="s">
        <v>116</v>
      </c>
      <c r="G38" s="18" t="s">
        <v>117</v>
      </c>
      <c r="H38" s="10" t="s">
        <v>146</v>
      </c>
      <c r="Q38" s="10" t="s">
        <v>146</v>
      </c>
      <c r="V38" s="10" t="s">
        <v>146</v>
      </c>
      <c r="AA38" s="10" t="s">
        <v>146</v>
      </c>
    </row>
    <row r="39" spans="2:30" x14ac:dyDescent="0.4">
      <c r="B39" s="17" t="s">
        <v>181</v>
      </c>
      <c r="C39" s="45"/>
      <c r="D39" s="23" t="s">
        <v>43</v>
      </c>
      <c r="E39" s="18" t="s">
        <v>43</v>
      </c>
      <c r="F39" s="18" t="s">
        <v>118</v>
      </c>
      <c r="G39" s="18" t="s">
        <v>44</v>
      </c>
      <c r="H39" s="10" t="s">
        <v>146</v>
      </c>
      <c r="Q39" s="10" t="s">
        <v>146</v>
      </c>
      <c r="V39" s="10" t="s">
        <v>146</v>
      </c>
    </row>
    <row r="40" spans="2:30" x14ac:dyDescent="0.4">
      <c r="B40" s="17" t="s">
        <v>182</v>
      </c>
      <c r="C40" s="45"/>
      <c r="D40" s="18" t="s">
        <v>24</v>
      </c>
      <c r="E40" s="18" t="s">
        <v>24</v>
      </c>
      <c r="F40" s="18" t="s">
        <v>118</v>
      </c>
      <c r="G40" s="18" t="s">
        <v>45</v>
      </c>
    </row>
    <row r="41" spans="2:30" x14ac:dyDescent="0.4">
      <c r="B41" s="17" t="s">
        <v>183</v>
      </c>
      <c r="C41" s="46"/>
      <c r="D41" s="23" t="s">
        <v>112</v>
      </c>
      <c r="E41" s="18" t="s">
        <v>33</v>
      </c>
      <c r="F41" s="18" t="s">
        <v>113</v>
      </c>
      <c r="G41" s="18" t="s">
        <v>42</v>
      </c>
      <c r="H41" s="10" t="s">
        <v>146</v>
      </c>
      <c r="Q41" s="10" t="s">
        <v>146</v>
      </c>
      <c r="V41" s="10" t="s">
        <v>146</v>
      </c>
      <c r="AA41" s="10" t="s">
        <v>146</v>
      </c>
    </row>
    <row r="42" spans="2:30" x14ac:dyDescent="0.4">
      <c r="B42" s="19"/>
      <c r="C42" s="26"/>
      <c r="D42" s="24"/>
      <c r="E42" s="19"/>
      <c r="F42" s="24"/>
      <c r="G42" s="24"/>
      <c r="H42" s="2"/>
      <c r="J42" s="14"/>
      <c r="K42" s="14"/>
      <c r="L42" s="2"/>
      <c r="M42" s="2"/>
      <c r="O42" s="14"/>
      <c r="P42" s="14"/>
      <c r="Q42" s="14"/>
      <c r="R42" s="2"/>
      <c r="T42" s="14"/>
      <c r="U42" s="14"/>
      <c r="V42" s="14"/>
      <c r="W42" s="2"/>
      <c r="Y42" s="14"/>
      <c r="Z42" s="14"/>
      <c r="AA42" s="14"/>
      <c r="AB42" s="2"/>
      <c r="AD42" s="15"/>
    </row>
    <row r="43" spans="2:30" ht="43.75" x14ac:dyDescent="0.4">
      <c r="B43" s="17" t="s">
        <v>169</v>
      </c>
      <c r="C43" s="39" t="s">
        <v>165</v>
      </c>
      <c r="D43" s="23" t="s">
        <v>43</v>
      </c>
      <c r="E43" s="18" t="s">
        <v>43</v>
      </c>
      <c r="F43" s="18" t="s">
        <v>158</v>
      </c>
      <c r="G43" s="18" t="s">
        <v>119</v>
      </c>
      <c r="H43" s="28" t="s">
        <v>163</v>
      </c>
      <c r="Q43" s="10" t="s">
        <v>146</v>
      </c>
      <c r="V43" s="31" t="s">
        <v>162</v>
      </c>
      <c r="AA43" s="10" t="s">
        <v>146</v>
      </c>
    </row>
    <row r="44" spans="2:30" ht="43.75" x14ac:dyDescent="0.4">
      <c r="B44" s="17" t="s">
        <v>170</v>
      </c>
      <c r="C44" s="39"/>
      <c r="D44" s="18" t="s">
        <v>24</v>
      </c>
      <c r="E44" s="18" t="s">
        <v>24</v>
      </c>
      <c r="F44" s="18" t="s">
        <v>159</v>
      </c>
      <c r="G44" s="18" t="s">
        <v>120</v>
      </c>
    </row>
    <row r="45" spans="2:30" x14ac:dyDescent="0.4">
      <c r="B45" s="17" t="s">
        <v>171</v>
      </c>
      <c r="C45" s="39"/>
      <c r="D45" s="23" t="s">
        <v>39</v>
      </c>
      <c r="E45" s="18" t="s">
        <v>39</v>
      </c>
      <c r="F45" s="18" t="s">
        <v>166</v>
      </c>
      <c r="G45" s="18" t="s">
        <v>127</v>
      </c>
      <c r="H45" s="10" t="s">
        <v>146</v>
      </c>
      <c r="Q45" s="10" t="s">
        <v>146</v>
      </c>
      <c r="R45" s="3"/>
      <c r="V45" s="10" t="s">
        <v>146</v>
      </c>
      <c r="W45" s="3"/>
      <c r="AB45" s="3"/>
    </row>
    <row r="46" spans="2:30" ht="43.75" x14ac:dyDescent="0.4">
      <c r="B46" s="17" t="s">
        <v>172</v>
      </c>
      <c r="C46" s="39"/>
      <c r="D46" s="18" t="s">
        <v>167</v>
      </c>
      <c r="E46" s="18" t="s">
        <v>167</v>
      </c>
      <c r="F46" s="18" t="s">
        <v>157</v>
      </c>
      <c r="G46" s="18" t="s">
        <v>128</v>
      </c>
      <c r="H46" s="1" t="s">
        <v>168</v>
      </c>
      <c r="O46" s="1"/>
      <c r="Q46" s="1" t="s">
        <v>168</v>
      </c>
      <c r="R46" s="3"/>
      <c r="V46" s="1" t="s">
        <v>168</v>
      </c>
      <c r="W46" s="3"/>
      <c r="AB46" s="3"/>
    </row>
    <row r="47" spans="2:30" x14ac:dyDescent="0.4">
      <c r="B47" s="19"/>
      <c r="C47" s="26"/>
      <c r="D47" s="24"/>
      <c r="E47" s="19"/>
      <c r="F47" s="24"/>
      <c r="G47" s="24"/>
      <c r="H47" s="2"/>
      <c r="J47" s="14"/>
      <c r="K47" s="14"/>
      <c r="L47" s="2"/>
      <c r="M47" s="2"/>
      <c r="O47" s="14"/>
      <c r="P47" s="14"/>
      <c r="Q47" s="14"/>
      <c r="R47" s="2"/>
      <c r="T47" s="14"/>
      <c r="U47" s="14"/>
      <c r="V47" s="14"/>
      <c r="W47" s="2"/>
      <c r="Y47" s="14"/>
      <c r="Z47" s="14"/>
      <c r="AA47" s="14"/>
      <c r="AB47" s="2"/>
      <c r="AD47" s="15"/>
    </row>
    <row r="48" spans="2:30" x14ac:dyDescent="0.4">
      <c r="B48" s="17" t="s">
        <v>125</v>
      </c>
      <c r="C48" s="32" t="s">
        <v>121</v>
      </c>
      <c r="D48" s="23" t="s">
        <v>38</v>
      </c>
      <c r="E48" s="18" t="s">
        <v>38</v>
      </c>
      <c r="F48" s="18" t="s">
        <v>123</v>
      </c>
      <c r="G48" s="18" t="s">
        <v>46</v>
      </c>
      <c r="H48" s="10" t="s">
        <v>146</v>
      </c>
      <c r="M48" s="10" t="s">
        <v>146</v>
      </c>
      <c r="Q48" s="10" t="s">
        <v>146</v>
      </c>
      <c r="V48" s="10" t="s">
        <v>146</v>
      </c>
      <c r="AA48" s="10" t="s">
        <v>146</v>
      </c>
      <c r="AD48" s="17"/>
    </row>
    <row r="49" spans="2:30" x14ac:dyDescent="0.4">
      <c r="B49" s="17" t="s">
        <v>126</v>
      </c>
      <c r="C49" s="33"/>
      <c r="D49" s="23" t="s">
        <v>122</v>
      </c>
      <c r="E49" s="23" t="s">
        <v>122</v>
      </c>
      <c r="F49" s="18" t="s">
        <v>124</v>
      </c>
      <c r="G49" s="18" t="s">
        <v>46</v>
      </c>
      <c r="H49" s="10" t="s">
        <v>146</v>
      </c>
      <c r="M49" s="10" t="s">
        <v>146</v>
      </c>
      <c r="Q49" s="10" t="s">
        <v>146</v>
      </c>
      <c r="V49" s="10" t="s">
        <v>146</v>
      </c>
      <c r="AA49" s="10" t="s">
        <v>146</v>
      </c>
    </row>
    <row r="50" spans="2:30" x14ac:dyDescent="0.4">
      <c r="B50" s="19"/>
      <c r="C50" s="26"/>
      <c r="D50" s="24"/>
      <c r="E50" s="19"/>
      <c r="F50" s="24"/>
      <c r="G50" s="24"/>
      <c r="H50" s="2"/>
      <c r="J50" s="14"/>
      <c r="K50" s="14"/>
      <c r="L50" s="2"/>
      <c r="M50" s="2"/>
      <c r="O50" s="14"/>
      <c r="P50" s="14"/>
      <c r="Q50" s="14"/>
      <c r="R50" s="2"/>
      <c r="T50" s="14"/>
      <c r="U50" s="14"/>
      <c r="V50" s="14"/>
      <c r="W50" s="2"/>
      <c r="Y50" s="14"/>
      <c r="Z50" s="14"/>
      <c r="AA50" s="14"/>
      <c r="AB50" s="2"/>
      <c r="AD50" s="15"/>
    </row>
  </sheetData>
  <mergeCells count="8">
    <mergeCell ref="Y1:AB1"/>
    <mergeCell ref="O1:R1"/>
    <mergeCell ref="C31:C41"/>
    <mergeCell ref="C48:C49"/>
    <mergeCell ref="C7:C29"/>
    <mergeCell ref="C3:C5"/>
    <mergeCell ref="C43:C46"/>
    <mergeCell ref="T1:W1"/>
  </mergeCells>
  <phoneticPr fontId="4" type="noConversion"/>
  <conditionalFormatting sqref="H6:AC6 H30:AC30 I31:P34 R31:U34 W31:Z34 AB31:AC34 I35:AC35 AB36:AC36 I37:AC37 AB38:AC38 I38:P39 W39:AC39 I40:AC40 AB41:AC41 H42:AC42 I43:P43 R43:Z43 AB43:AC43 I44:AC44 S45:S46 X45:X46 AC45:AC46 H47:AC47 I48:L49 N48:P49 R48:U49 W48:Z49 AB48:AC49 H50:AC50">
    <cfRule type="containsText" dxfId="62" priority="109" operator="containsText" text="progress">
      <formula>NOT(ISERROR(SEARCH("progress",H6)))</formula>
    </cfRule>
    <cfRule type="containsText" dxfId="61" priority="112" operator="containsText" text="done">
      <formula>NOT(ISERROR(SEARCH("done",H6)))</formula>
    </cfRule>
    <cfRule type="containsText" dxfId="60" priority="113" operator="containsText" text="ready">
      <formula>NOT(ISERROR(SEARCH("ready",H6)))</formula>
    </cfRule>
    <cfRule type="containsText" dxfId="59" priority="111" operator="containsText" text="N/A">
      <formula>NOT(ISERROR(SEARCH("N/A",H6)))</formula>
    </cfRule>
    <cfRule type="containsText" dxfId="58" priority="110" operator="containsText" text="clarification">
      <formula>NOT(ISERROR(SEARCH("clarification",H6)))</formula>
    </cfRule>
  </conditionalFormatting>
  <conditionalFormatting sqref="I45:N46">
    <cfRule type="containsText" dxfId="57" priority="1" operator="containsText" text="progress">
      <formula>NOT(ISERROR(SEARCH("progress",I45)))</formula>
    </cfRule>
    <cfRule type="containsText" dxfId="56" priority="2" operator="containsText" text="clarification">
      <formula>NOT(ISERROR(SEARCH("clarification",I45)))</formula>
    </cfRule>
    <cfRule type="containsText" dxfId="55" priority="3" operator="containsText" text="N/A">
      <formula>NOT(ISERROR(SEARCH("N/A",I45)))</formula>
    </cfRule>
    <cfRule type="containsText" dxfId="54" priority="4" operator="containsText" text="done">
      <formula>NOT(ISERROR(SEARCH("done",I45)))</formula>
    </cfRule>
    <cfRule type="containsText" dxfId="53" priority="5" operator="containsText" text="ready">
      <formula>NOT(ISERROR(SEARCH("ready",I45)))</formula>
    </cfRule>
  </conditionalFormatting>
  <conditionalFormatting sqref="I36:P36">
    <cfRule type="containsText" dxfId="52" priority="193" operator="containsText" text="ready">
      <formula>NOT(ISERROR(SEARCH("ready",I36)))</formula>
    </cfRule>
    <cfRule type="containsText" dxfId="51" priority="192" operator="containsText" text="done">
      <formula>NOT(ISERROR(SEARCH("done",I36)))</formula>
    </cfRule>
    <cfRule type="containsText" dxfId="50" priority="190" operator="containsText" text="N/A">
      <formula>NOT(ISERROR(SEARCH("N/A",I36)))</formula>
    </cfRule>
    <cfRule type="containsText" dxfId="49" priority="189" operator="containsText" text="clarification">
      <formula>NOT(ISERROR(SEARCH("clarification",I36)))</formula>
    </cfRule>
    <cfRule type="containsText" dxfId="48" priority="184" operator="containsText" text="progress">
      <formula>NOT(ISERROR(SEARCH("progress",I36)))</formula>
    </cfRule>
  </conditionalFormatting>
  <conditionalFormatting sqref="I41:P41">
    <cfRule type="containsText" dxfId="47" priority="36" operator="containsText" text="progress">
      <formula>NOT(ISERROR(SEARCH("progress",I41)))</formula>
    </cfRule>
    <cfRule type="containsText" dxfId="46" priority="37" operator="containsText" text="clarification">
      <formula>NOT(ISERROR(SEARCH("clarification",I41)))</formula>
    </cfRule>
    <cfRule type="containsText" dxfId="45" priority="38" operator="containsText" text="N/A">
      <formula>NOT(ISERROR(SEARCH("N/A",I41)))</formula>
    </cfRule>
    <cfRule type="containsText" dxfId="44" priority="39" operator="containsText" text="done">
      <formula>NOT(ISERROR(SEARCH("done",I41)))</formula>
    </cfRule>
    <cfRule type="containsText" dxfId="43" priority="40" operator="containsText" text="ready">
      <formula>NOT(ISERROR(SEARCH("ready",I41)))</formula>
    </cfRule>
  </conditionalFormatting>
  <conditionalFormatting sqref="O46">
    <cfRule type="containsText" dxfId="42" priority="12" operator="containsText" text="clarification">
      <formula>NOT(ISERROR(SEARCH("clarification",O46)))</formula>
    </cfRule>
    <cfRule type="containsText" dxfId="41" priority="13" operator="containsText" text="N/A">
      <formula>NOT(ISERROR(SEARCH("N/A",O46)))</formula>
    </cfRule>
    <cfRule type="containsText" dxfId="40" priority="14" operator="containsText" text="done">
      <formula>NOT(ISERROR(SEARCH("done",O46)))</formula>
    </cfRule>
    <cfRule type="containsText" dxfId="39" priority="15" operator="containsText" text="ready">
      <formula>NOT(ISERROR(SEARCH("ready",O46)))</formula>
    </cfRule>
    <cfRule type="containsText" dxfId="38" priority="11" operator="containsText" text="progress">
      <formula>NOT(ISERROR(SEARCH("progress",O46)))</formula>
    </cfRule>
  </conditionalFormatting>
  <conditionalFormatting sqref="R8:R12 R14:R22">
    <cfRule type="cellIs" dxfId="37" priority="162" operator="notBetween">
      <formula>$D8</formula>
      <formula>-$D8</formula>
    </cfRule>
    <cfRule type="cellIs" dxfId="36" priority="163" operator="between">
      <formula>$D8</formula>
      <formula>-$D8</formula>
    </cfRule>
  </conditionalFormatting>
  <conditionalFormatting sqref="R27:R29">
    <cfRule type="cellIs" dxfId="35" priority="63" operator="notBetween">
      <formula>$D27</formula>
      <formula>-$D27</formula>
    </cfRule>
    <cfRule type="cellIs" dxfId="34" priority="64" operator="between">
      <formula>$D27</formula>
      <formula>-$D27</formula>
    </cfRule>
  </conditionalFormatting>
  <conditionalFormatting sqref="R7:S7">
    <cfRule type="cellIs" dxfId="33" priority="177" operator="between">
      <formula>$D7</formula>
      <formula>-$D7</formula>
    </cfRule>
    <cfRule type="cellIs" dxfId="32" priority="176" operator="notBetween">
      <formula>$D7</formula>
      <formula>-$D7</formula>
    </cfRule>
  </conditionalFormatting>
  <conditionalFormatting sqref="R36:U36 R38:U39">
    <cfRule type="containsText" dxfId="31" priority="62" operator="containsText" text="ready">
      <formula>NOT(ISERROR(SEARCH("ready",R36)))</formula>
    </cfRule>
    <cfRule type="containsText" dxfId="30" priority="61" operator="containsText" text="done">
      <formula>NOT(ISERROR(SEARCH("done",R36)))</formula>
    </cfRule>
    <cfRule type="containsText" dxfId="29" priority="60" operator="containsText" text="N/A">
      <formula>NOT(ISERROR(SEARCH("N/A",R36)))</formula>
    </cfRule>
    <cfRule type="containsText" dxfId="28" priority="59" operator="containsText" text="clarification">
      <formula>NOT(ISERROR(SEARCH("clarification",R36)))</formula>
    </cfRule>
    <cfRule type="containsText" dxfId="27" priority="58" operator="containsText" text="progress">
      <formula>NOT(ISERROR(SEARCH("progress",R36)))</formula>
    </cfRule>
  </conditionalFormatting>
  <conditionalFormatting sqref="R41:U41">
    <cfRule type="containsText" dxfId="26" priority="32" operator="containsText" text="clarification">
      <formula>NOT(ISERROR(SEARCH("clarification",R41)))</formula>
    </cfRule>
    <cfRule type="containsText" dxfId="25" priority="33" operator="containsText" text="N/A">
      <formula>NOT(ISERROR(SEARCH("N/A",R41)))</formula>
    </cfRule>
    <cfRule type="containsText" dxfId="24" priority="34" operator="containsText" text="done">
      <formula>NOT(ISERROR(SEARCH("done",R41)))</formula>
    </cfRule>
    <cfRule type="containsText" dxfId="23" priority="35" operator="containsText" text="ready">
      <formula>NOT(ISERROR(SEARCH("ready",R41)))</formula>
    </cfRule>
    <cfRule type="containsText" dxfId="22" priority="31" operator="containsText" text="progress">
      <formula>NOT(ISERROR(SEARCH("progress",R41)))</formula>
    </cfRule>
  </conditionalFormatting>
  <conditionalFormatting sqref="W8:W12 W14:W22">
    <cfRule type="cellIs" dxfId="21" priority="54" operator="notBetween">
      <formula>$D8</formula>
      <formula>-$D8</formula>
    </cfRule>
    <cfRule type="cellIs" dxfId="20" priority="55" operator="between">
      <formula>$D8</formula>
      <formula>-$D8</formula>
    </cfRule>
  </conditionalFormatting>
  <conditionalFormatting sqref="W27:W29">
    <cfRule type="cellIs" dxfId="19" priority="53" operator="between">
      <formula>$D27</formula>
      <formula>-$D27</formula>
    </cfRule>
    <cfRule type="cellIs" dxfId="18" priority="52" operator="notBetween">
      <formula>$D27</formula>
      <formula>-$D27</formula>
    </cfRule>
  </conditionalFormatting>
  <conditionalFormatting sqref="W7:X7">
    <cfRule type="cellIs" dxfId="17" priority="56" operator="notBetween">
      <formula>$D7</formula>
      <formula>-$D7</formula>
    </cfRule>
    <cfRule type="cellIs" dxfId="16" priority="57" operator="between">
      <formula>$D7</formula>
      <formula>-$D7</formula>
    </cfRule>
  </conditionalFormatting>
  <conditionalFormatting sqref="W36:Z36 W38:Z38">
    <cfRule type="containsText" dxfId="15" priority="49" operator="containsText" text="N/A">
      <formula>NOT(ISERROR(SEARCH("N/A",W36)))</formula>
    </cfRule>
    <cfRule type="containsText" dxfId="14" priority="50" operator="containsText" text="done">
      <formula>NOT(ISERROR(SEARCH("done",W36)))</formula>
    </cfRule>
    <cfRule type="containsText" dxfId="13" priority="48" operator="containsText" text="clarification">
      <formula>NOT(ISERROR(SEARCH("clarification",W36)))</formula>
    </cfRule>
    <cfRule type="containsText" dxfId="12" priority="51" operator="containsText" text="ready">
      <formula>NOT(ISERROR(SEARCH("ready",W36)))</formula>
    </cfRule>
    <cfRule type="containsText" dxfId="11" priority="47" operator="containsText" text="progress">
      <formula>NOT(ISERROR(SEARCH("progress",W36)))</formula>
    </cfRule>
  </conditionalFormatting>
  <conditionalFormatting sqref="W41:Z41">
    <cfRule type="containsText" dxfId="10" priority="27" operator="containsText" text="clarification">
      <formula>NOT(ISERROR(SEARCH("clarification",W41)))</formula>
    </cfRule>
    <cfRule type="containsText" dxfId="9" priority="26" operator="containsText" text="progress">
      <formula>NOT(ISERROR(SEARCH("progress",W41)))</formula>
    </cfRule>
    <cfRule type="containsText" dxfId="8" priority="30" operator="containsText" text="ready">
      <formula>NOT(ISERROR(SEARCH("ready",W41)))</formula>
    </cfRule>
    <cfRule type="containsText" dxfId="7" priority="29" operator="containsText" text="done">
      <formula>NOT(ISERROR(SEARCH("done",W41)))</formula>
    </cfRule>
    <cfRule type="containsText" dxfId="6" priority="28" operator="containsText" text="N/A">
      <formula>NOT(ISERROR(SEARCH("N/A",W41)))</formula>
    </cfRule>
  </conditionalFormatting>
  <conditionalFormatting sqref="AB8:AB12 AB14:AB22">
    <cfRule type="cellIs" dxfId="5" priority="44" operator="between">
      <formula>$D8</formula>
      <formula>-$D8</formula>
    </cfRule>
    <cfRule type="cellIs" dxfId="4" priority="43" operator="notBetween">
      <formula>$D8</formula>
      <formula>-$D8</formula>
    </cfRule>
  </conditionalFormatting>
  <conditionalFormatting sqref="AB27:AB29">
    <cfRule type="cellIs" dxfId="3" priority="41" operator="notBetween">
      <formula>$D27</formula>
      <formula>-$D27</formula>
    </cfRule>
    <cfRule type="cellIs" dxfId="2" priority="42" operator="between">
      <formula>$D27</formula>
      <formula>-$D27</formula>
    </cfRule>
  </conditionalFormatting>
  <conditionalFormatting sqref="AB7:AC7">
    <cfRule type="cellIs" dxfId="1" priority="46" operator="between">
      <formula>$D7</formula>
      <formula>-$D7</formula>
    </cfRule>
    <cfRule type="cellIs" dxfId="0" priority="45" operator="notBetween">
      <formula>$D7</formula>
      <formula>-$D7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0E6A86B6A72843A145503AA2D1C9D2" ma:contentTypeVersion="7" ma:contentTypeDescription="Create a new document." ma:contentTypeScope="" ma:versionID="5d3c1c7ece3f519f6100afb4e8df301d">
  <xsd:schema xmlns:xsd="http://www.w3.org/2001/XMLSchema" xmlns:xs="http://www.w3.org/2001/XMLSchema" xmlns:p="http://schemas.microsoft.com/office/2006/metadata/properties" xmlns:ns2="80bf8e2e-1b1f-4d16-a09c-009365d947dd" targetNamespace="http://schemas.microsoft.com/office/2006/metadata/properties" ma:root="true" ma:fieldsID="73a751ef50b924751f9cc7667f8fa632" ns2:_="">
    <xsd:import namespace="80bf8e2e-1b1f-4d16-a09c-009365d947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bf8e2e-1b1f-4d16-a09c-009365d947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F13160F-20C8-468C-92EC-1818B774DB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0bf8e2e-1b1f-4d16-a09c-009365d947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8C002D-18C7-4DB4-8D71-7F615FBD04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0387BD4-6431-4B6B-8F3A-12FB0D511262}">
  <ds:schemaRefs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80bf8e2e-1b1f-4d16-a09c-009365d947dd"/>
    <ds:schemaRef ds:uri="http://purl.org/dc/elements/1.1/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Martin Johansson</dc:creator>
  <cp:keywords/>
  <dc:description/>
  <cp:lastModifiedBy>Martin Johansson</cp:lastModifiedBy>
  <cp:revision/>
  <dcterms:created xsi:type="dcterms:W3CDTF">2015-06-05T18:17:20Z</dcterms:created>
  <dcterms:modified xsi:type="dcterms:W3CDTF">2025-12-07T22:17:45Z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0x0101004F0E6A86B6A72843A145503AA2D1C9D2</vt:lpwstr>
  </property>
</Properties>
</file>