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sharpab-my.sharepoint.com/personal/daniel_esharp_se/Documents/DesignLabs/PLM/Products/ESH10000543/P1/Verification/"/>
    </mc:Choice>
  </mc:AlternateContent>
  <xr:revisionPtr revIDLastSave="4948" documentId="8_{8ADC11FE-21AC-419E-A6AB-300C121185A7}" xr6:coauthVersionLast="47" xr6:coauthVersionMax="47" xr10:uidLastSave="{99722856-E93F-4303-816B-36DAEFE4290E}"/>
  <bookViews>
    <workbookView xWindow="-103" yWindow="-103" windowWidth="21600" windowHeight="13749" tabRatio="457" xr2:uid="{00000000-000D-0000-FFFF-FFFF00000000}"/>
  </bookViews>
  <sheets>
    <sheet name="DU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" l="1"/>
  <c r="Y9" i="3"/>
  <c r="Y8" i="3"/>
  <c r="Y7" i="3"/>
  <c r="Y6" i="3"/>
  <c r="T6" i="3"/>
  <c r="T7" i="3"/>
  <c r="T8" i="3"/>
  <c r="T9" i="3"/>
  <c r="T10" i="3"/>
  <c r="O15" i="3"/>
  <c r="O14" i="3"/>
  <c r="O13" i="3"/>
  <c r="O12" i="3"/>
  <c r="O11" i="3"/>
  <c r="O10" i="3"/>
  <c r="O9" i="3"/>
  <c r="O8" i="3"/>
  <c r="O7" i="3"/>
  <c r="O6" i="3"/>
</calcChain>
</file>

<file path=xl/sharedStrings.xml><?xml version="1.0" encoding="utf-8"?>
<sst xmlns="http://schemas.openxmlformats.org/spreadsheetml/2006/main" count="226" uniqueCount="107">
  <si>
    <t>Comment</t>
  </si>
  <si>
    <t>ID</t>
  </si>
  <si>
    <t>Sequence</t>
  </si>
  <si>
    <t>Step</t>
  </si>
  <si>
    <t>Function</t>
  </si>
  <si>
    <t>Test</t>
  </si>
  <si>
    <t>Signals</t>
  </si>
  <si>
    <t>P.00</t>
  </si>
  <si>
    <t>P.01</t>
  </si>
  <si>
    <t>Power</t>
  </si>
  <si>
    <t>3V3</t>
  </si>
  <si>
    <t>5V</t>
  </si>
  <si>
    <t>3V3 Supply</t>
  </si>
  <si>
    <t>5V Supply</t>
  </si>
  <si>
    <t>Mechanical</t>
  </si>
  <si>
    <t>NA</t>
  </si>
  <si>
    <t>Pass /Fail</t>
  </si>
  <si>
    <t>Nominal value</t>
  </si>
  <si>
    <t>Tolerance</t>
  </si>
  <si>
    <t>3V3 power</t>
  </si>
  <si>
    <t>5V power</t>
  </si>
  <si>
    <t>Measure 3V3 rail with DMM</t>
  </si>
  <si>
    <t>P.02</t>
  </si>
  <si>
    <t>P.03</t>
  </si>
  <si>
    <t>P.04</t>
  </si>
  <si>
    <t>P.05</t>
  </si>
  <si>
    <t>P.06</t>
  </si>
  <si>
    <t>P.07</t>
  </si>
  <si>
    <t>P.08</t>
  </si>
  <si>
    <t>P.09</t>
  </si>
  <si>
    <t>M.00</t>
  </si>
  <si>
    <t>M.01</t>
  </si>
  <si>
    <t>IO Expander</t>
  </si>
  <si>
    <t>VDD</t>
  </si>
  <si>
    <t>I2C Tranceivers</t>
  </si>
  <si>
    <t>VDD Supply</t>
  </si>
  <si>
    <t>Measure VDD rail with DMM</t>
  </si>
  <si>
    <t>VDD power</t>
  </si>
  <si>
    <t>Make sure interrupt pin works as expected</t>
  </si>
  <si>
    <t>No Mounts</t>
  </si>
  <si>
    <t>Panel Fit</t>
  </si>
  <si>
    <t>Mechanical Fit</t>
  </si>
  <si>
    <t>Verify all no mounts</t>
  </si>
  <si>
    <t>Measure 5V rail with DMM</t>
  </si>
  <si>
    <t>VID power</t>
  </si>
  <si>
    <t>VID Supply</t>
  </si>
  <si>
    <t>Measure VID rail with DMM</t>
  </si>
  <si>
    <t>VID</t>
  </si>
  <si>
    <t>PWR_EN, VOUT</t>
  </si>
  <si>
    <t>VOUT power</t>
  </si>
  <si>
    <t>eFuse</t>
  </si>
  <si>
    <t>Enable the VOUT and measure VOUT rail with DMM</t>
  </si>
  <si>
    <t>Enable the VOUT and measure at what level PG goes high</t>
  </si>
  <si>
    <t>PG</t>
  </si>
  <si>
    <t>DVTD</t>
  </si>
  <si>
    <t>Enable the VOUT and measure Over Voltage Lock Out level</t>
  </si>
  <si>
    <t>OVLO</t>
  </si>
  <si>
    <t>ITIMER</t>
  </si>
  <si>
    <t>Load the VOUT and measure at what current the PG goues low</t>
  </si>
  <si>
    <t>ILM</t>
  </si>
  <si>
    <t>Connect to Sparrow FE and see that READY and PIDET goes low</t>
  </si>
  <si>
    <t>READY, PIDET</t>
  </si>
  <si>
    <t>Enable I2C_EN and find all devices on Sparrow FE</t>
  </si>
  <si>
    <t>SDA,SCL</t>
  </si>
  <si>
    <t>LED</t>
  </si>
  <si>
    <t>LED_BLUEn</t>
  </si>
  <si>
    <t>Enable LED_BLUEn and check Power LED goes Blue</t>
  </si>
  <si>
    <t>Enable UART_ENn and check RS485 LED goes Blue</t>
  </si>
  <si>
    <t>SRQ*n</t>
  </si>
  <si>
    <t>I2C_EN*, SDA*, SCL*</t>
  </si>
  <si>
    <t>UART</t>
  </si>
  <si>
    <t>Loop back UART signals and test UART interface</t>
  </si>
  <si>
    <t>RXD, TXD, RTS, CTS</t>
  </si>
  <si>
    <t>A002708</t>
  </si>
  <si>
    <t>PASS</t>
  </si>
  <si>
    <t>Enable the VOUT and measure slew rate @No Load</t>
  </si>
  <si>
    <t>Unit</t>
  </si>
  <si>
    <t>V</t>
  </si>
  <si>
    <t>A</t>
  </si>
  <si>
    <t>V/ms</t>
  </si>
  <si>
    <t>ms</t>
  </si>
  <si>
    <t>Measured</t>
  </si>
  <si>
    <t>0V-&gt; 20V in 150ms</t>
  </si>
  <si>
    <t>0V-&gt; 20V in 180ms</t>
  </si>
  <si>
    <t>Enable the VOUT and measure slew rate @430mA Load</t>
  </si>
  <si>
    <t>P.10</t>
  </si>
  <si>
    <t>P.11</t>
  </si>
  <si>
    <t>Enable the VOUT and measure slew rate @500mA Load</t>
  </si>
  <si>
    <t>Does not start</t>
  </si>
  <si>
    <t>How to test TIMER? Have the VOUT enabled add a step Load of 0-&gt;2.2A and see that the switch is still on</t>
  </si>
  <si>
    <t>Find the I2C Expander @0x20 and IDPROM @0x50. Program the IDPROM</t>
  </si>
  <si>
    <t>Note maximum load at Enable is 430mA. But when enabled a load step from 0A -&gt; 2.2A is no issue. No issue to start Sparrow FE, shorter load events are probably taken care of by TIMER.</t>
  </si>
  <si>
    <t>Ready is low when I2C_EN is low. PIDET is always low.Same behavior if FE is connected or not. Update: This is ok, the signals are not used anyways.</t>
  </si>
  <si>
    <t>These are not used</t>
  </si>
  <si>
    <t>A002712</t>
  </si>
  <si>
    <t>Make sure board fits mechanically with Sparrow front panel</t>
  </si>
  <si>
    <t>A002709</t>
  </si>
  <si>
    <t>Ctrl IO</t>
  </si>
  <si>
    <t>C.00</t>
  </si>
  <si>
    <t>C.01</t>
  </si>
  <si>
    <t>C.02</t>
  </si>
  <si>
    <t>C.03</t>
  </si>
  <si>
    <t>C.04</t>
  </si>
  <si>
    <t>C.05</t>
  </si>
  <si>
    <t>C.06</t>
  </si>
  <si>
    <t>Question</t>
  </si>
  <si>
    <t>Fail but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</si>
</sst>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/>
    </xf>
    <xf numFmtId="0" fontId="5" fillId="3" borderId="1" xfId="1" applyFill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5" fontId="0" fillId="3" borderId="1" xfId="0" applyNumberForma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164" fontId="0" fillId="8" borderId="1" xfId="0" applyNumberFormat="1" applyFill="1" applyBorder="1" applyAlignment="1">
      <alignment horizontal="center" vertical="top"/>
    </xf>
    <xf numFmtId="165" fontId="0" fillId="8" borderId="1" xfId="0" applyNumberFormat="1" applyFill="1" applyBorder="1" applyAlignment="1">
      <alignment horizontal="center" vertical="top"/>
    </xf>
    <xf numFmtId="10" fontId="5" fillId="3" borderId="1" xfId="1" applyNumberFormat="1" applyFill="1" applyBorder="1" applyAlignment="1">
      <alignment horizontal="center" vertical="top"/>
    </xf>
    <xf numFmtId="10" fontId="5" fillId="0" borderId="1" xfId="1" applyNumberFormat="1" applyFill="1" applyBorder="1" applyAlignment="1">
      <alignment horizontal="center" vertical="top"/>
    </xf>
    <xf numFmtId="10" fontId="2" fillId="0" borderId="1" xfId="1" applyNumberFormat="1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quotePrefix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0" fontId="5" fillId="3" borderId="1" xfId="1" applyNumberFormat="1" applyFill="1" applyBorder="1" applyAlignment="1">
      <alignment horizontal="left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top"/>
    </xf>
    <xf numFmtId="0" fontId="7" fillId="6" borderId="3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7" fillId="5" borderId="3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732E-0445-4DBE-ACEC-D5A7599C523B}">
  <dimension ref="B1:AC26"/>
  <sheetViews>
    <sheetView tabSelected="1" zoomScale="115" zoomScaleNormal="115" workbookViewId="0">
      <pane ySplit="2" topLeftCell="A3" activePane="bottomLeft" state="frozen"/>
      <selection pane="bottomLeft"/>
    </sheetView>
  </sheetViews>
  <sheetFormatPr defaultColWidth="9.23046875" defaultRowHeight="14.6" x14ac:dyDescent="0.4"/>
  <cols>
    <col min="1" max="1" width="2.53515625" style="29" customWidth="1"/>
    <col min="2" max="2" width="5.84375" style="26" bestFit="1" customWidth="1"/>
    <col min="3" max="3" width="15.69140625" style="2" bestFit="1" customWidth="1"/>
    <col min="4" max="4" width="29.84375" style="26" customWidth="1"/>
    <col min="5" max="5" width="25.84375" style="26" bestFit="1" customWidth="1"/>
    <col min="6" max="6" width="53.765625" style="27" customWidth="1"/>
    <col min="7" max="7" width="27.69140625" style="27" bestFit="1" customWidth="1"/>
    <col min="8" max="8" width="14.4609375" style="2" bestFit="1" customWidth="1"/>
    <col min="9" max="9" width="1.765625" style="3" customWidth="1"/>
    <col min="10" max="10" width="13.3046875" style="4" bestFit="1" customWidth="1"/>
    <col min="11" max="11" width="5.07421875" style="4" bestFit="1" customWidth="1"/>
    <col min="12" max="12" width="12.07421875" style="2" customWidth="1"/>
    <col min="13" max="13" width="0.84375" style="3" customWidth="1"/>
    <col min="14" max="14" width="17.23046875" style="4" bestFit="1" customWidth="1"/>
    <col min="15" max="15" width="12.07421875" style="4" customWidth="1"/>
    <col min="16" max="16" width="12.07421875" style="2" customWidth="1"/>
    <col min="17" max="17" width="25.765625" style="2" customWidth="1"/>
    <col min="18" max="18" width="0.84375" style="3" customWidth="1"/>
    <col min="19" max="19" width="17.23046875" style="4" bestFit="1" customWidth="1"/>
    <col min="20" max="20" width="12.07421875" style="4" customWidth="1"/>
    <col min="21" max="21" width="12.07421875" style="2" customWidth="1"/>
    <col min="22" max="22" width="17.3046875" style="2" customWidth="1"/>
    <col min="23" max="23" width="0.84375" style="28" customWidth="1"/>
    <col min="24" max="24" width="17.23046875" style="4" bestFit="1" customWidth="1"/>
    <col min="25" max="25" width="12.07421875" style="4" customWidth="1"/>
    <col min="26" max="26" width="12.07421875" style="2" customWidth="1"/>
    <col min="27" max="27" width="17.3046875" style="2" customWidth="1"/>
    <col min="28" max="28" width="0.84375" style="28" customWidth="1"/>
    <col min="29" max="29" width="62" style="5" customWidth="1"/>
    <col min="30" max="30" width="12.53515625" style="29" customWidth="1"/>
    <col min="31" max="32" width="9.23046875" style="29"/>
    <col min="33" max="33" width="12" style="29" bestFit="1" customWidth="1"/>
    <col min="34" max="34" width="12.07421875" style="29" bestFit="1" customWidth="1"/>
    <col min="35" max="16384" width="9.23046875" style="29"/>
  </cols>
  <sheetData>
    <row r="1" spans="2:29" x14ac:dyDescent="0.4">
      <c r="N1" s="33" t="s">
        <v>73</v>
      </c>
      <c r="O1" s="34"/>
      <c r="P1" s="34"/>
      <c r="Q1" s="35"/>
      <c r="S1" s="33" t="s">
        <v>96</v>
      </c>
      <c r="T1" s="34"/>
      <c r="U1" s="34"/>
      <c r="V1" s="35"/>
      <c r="X1" s="33" t="s">
        <v>94</v>
      </c>
      <c r="Y1" s="34"/>
      <c r="Z1" s="34"/>
      <c r="AA1" s="35"/>
    </row>
    <row r="2" spans="2:29" x14ac:dyDescent="0.4"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6" t="s">
        <v>16</v>
      </c>
      <c r="I2" s="8"/>
      <c r="J2" s="9" t="s">
        <v>17</v>
      </c>
      <c r="K2" s="9" t="s">
        <v>76</v>
      </c>
      <c r="L2" s="6" t="s">
        <v>18</v>
      </c>
      <c r="M2" s="8"/>
      <c r="N2" s="9" t="s">
        <v>81</v>
      </c>
      <c r="O2" s="9" t="s">
        <v>18</v>
      </c>
      <c r="P2" s="6" t="s">
        <v>16</v>
      </c>
      <c r="Q2" s="6" t="s">
        <v>0</v>
      </c>
      <c r="R2" s="8"/>
      <c r="S2" s="9" t="s">
        <v>81</v>
      </c>
      <c r="T2" s="9" t="s">
        <v>18</v>
      </c>
      <c r="U2" s="6" t="s">
        <v>16</v>
      </c>
      <c r="V2" s="6" t="s">
        <v>0</v>
      </c>
      <c r="W2" s="8"/>
      <c r="X2" s="9" t="s">
        <v>81</v>
      </c>
      <c r="Y2" s="9" t="s">
        <v>18</v>
      </c>
      <c r="Z2" s="6" t="s">
        <v>16</v>
      </c>
      <c r="AA2" s="6" t="s">
        <v>0</v>
      </c>
      <c r="AB2" s="8"/>
      <c r="AC2" s="10" t="s">
        <v>0</v>
      </c>
    </row>
    <row r="3" spans="2:29" x14ac:dyDescent="0.4">
      <c r="B3" s="26" t="s">
        <v>30</v>
      </c>
      <c r="C3" s="40" t="s">
        <v>14</v>
      </c>
      <c r="D3" s="30" t="s">
        <v>39</v>
      </c>
      <c r="E3" s="27" t="s">
        <v>39</v>
      </c>
      <c r="F3" s="27" t="s">
        <v>42</v>
      </c>
      <c r="G3" s="27" t="s">
        <v>15</v>
      </c>
      <c r="H3" s="11" t="s">
        <v>74</v>
      </c>
      <c r="I3" s="12"/>
      <c r="L3" s="13"/>
      <c r="M3" s="14"/>
      <c r="P3" s="11" t="s">
        <v>74</v>
      </c>
      <c r="U3" s="11" t="s">
        <v>74</v>
      </c>
      <c r="Z3" s="11" t="s">
        <v>74</v>
      </c>
    </row>
    <row r="4" spans="2:29" x14ac:dyDescent="0.4">
      <c r="B4" s="26" t="s">
        <v>31</v>
      </c>
      <c r="C4" s="41"/>
      <c r="D4" s="30" t="s">
        <v>41</v>
      </c>
      <c r="E4" s="27" t="s">
        <v>40</v>
      </c>
      <c r="F4" s="27" t="s">
        <v>95</v>
      </c>
      <c r="G4" s="27" t="s">
        <v>15</v>
      </c>
      <c r="H4" s="11" t="s">
        <v>74</v>
      </c>
      <c r="I4" s="12"/>
      <c r="L4" s="13"/>
      <c r="M4" s="14"/>
      <c r="P4" s="11" t="s">
        <v>74</v>
      </c>
      <c r="U4" s="11" t="s">
        <v>74</v>
      </c>
      <c r="Z4" s="11" t="s">
        <v>74</v>
      </c>
    </row>
    <row r="5" spans="2:29" ht="14.6" customHeight="1" x14ac:dyDescent="0.4">
      <c r="B5" s="28"/>
      <c r="C5" s="25"/>
      <c r="D5" s="31"/>
      <c r="E5" s="28"/>
      <c r="F5" s="31"/>
      <c r="G5" s="31"/>
      <c r="H5" s="3"/>
      <c r="J5" s="16"/>
      <c r="K5" s="16"/>
      <c r="L5" s="3"/>
      <c r="N5" s="16"/>
      <c r="O5" s="16"/>
      <c r="P5" s="3"/>
      <c r="Q5" s="3"/>
      <c r="S5" s="16"/>
      <c r="T5" s="16"/>
      <c r="U5" s="3"/>
      <c r="V5" s="3"/>
      <c r="X5" s="16"/>
      <c r="Y5" s="16"/>
      <c r="Z5" s="3"/>
      <c r="AA5" s="3"/>
      <c r="AC5" s="17"/>
    </row>
    <row r="6" spans="2:29" x14ac:dyDescent="0.4">
      <c r="B6" s="26" t="s">
        <v>7</v>
      </c>
      <c r="C6" s="38" t="s">
        <v>9</v>
      </c>
      <c r="D6" s="27" t="s">
        <v>37</v>
      </c>
      <c r="E6" s="27" t="s">
        <v>35</v>
      </c>
      <c r="F6" s="27" t="s">
        <v>36</v>
      </c>
      <c r="G6" s="27" t="s">
        <v>33</v>
      </c>
      <c r="H6" s="11" t="s">
        <v>74</v>
      </c>
      <c r="I6" s="12"/>
      <c r="J6" s="4">
        <v>20</v>
      </c>
      <c r="K6" s="4" t="s">
        <v>77</v>
      </c>
      <c r="L6" s="13">
        <v>0.05</v>
      </c>
      <c r="M6" s="14"/>
      <c r="N6" s="18">
        <v>20.059999999999999</v>
      </c>
      <c r="O6" s="19">
        <f t="shared" ref="O6:O15" si="0">(N6-$J6)/$J6</f>
        <v>2.9999999999999359E-3</v>
      </c>
      <c r="P6" s="11" t="s">
        <v>74</v>
      </c>
      <c r="Q6" s="15"/>
      <c r="R6" s="20"/>
      <c r="S6" s="11">
        <v>20.05</v>
      </c>
      <c r="T6" s="19">
        <f>(S6-$J6)/$J6</f>
        <v>2.5000000000000356E-3</v>
      </c>
      <c r="U6" s="11" t="s">
        <v>74</v>
      </c>
      <c r="V6" s="15"/>
      <c r="W6" s="32"/>
      <c r="X6" s="11">
        <v>20.05</v>
      </c>
      <c r="Y6" s="19">
        <f>(X6-$J6)/$J6</f>
        <v>2.5000000000000356E-3</v>
      </c>
      <c r="Z6" s="11" t="s">
        <v>74</v>
      </c>
      <c r="AA6" s="15"/>
      <c r="AB6" s="32"/>
    </row>
    <row r="7" spans="2:29" x14ac:dyDescent="0.4">
      <c r="B7" s="26" t="s">
        <v>8</v>
      </c>
      <c r="C7" s="39"/>
      <c r="D7" s="27" t="s">
        <v>20</v>
      </c>
      <c r="E7" s="27" t="s">
        <v>13</v>
      </c>
      <c r="F7" s="27" t="s">
        <v>43</v>
      </c>
      <c r="G7" s="27" t="s">
        <v>11</v>
      </c>
      <c r="H7" s="11" t="s">
        <v>74</v>
      </c>
      <c r="I7" s="12"/>
      <c r="J7" s="4">
        <v>5</v>
      </c>
      <c r="K7" s="4" t="s">
        <v>77</v>
      </c>
      <c r="L7" s="13">
        <v>0.05</v>
      </c>
      <c r="M7" s="14"/>
      <c r="N7" s="18">
        <v>5.1580000000000004</v>
      </c>
      <c r="O7" s="19">
        <f t="shared" si="0"/>
        <v>3.1600000000000072E-2</v>
      </c>
      <c r="P7" s="11" t="s">
        <v>74</v>
      </c>
      <c r="Q7" s="15"/>
      <c r="R7" s="20"/>
      <c r="S7" s="11">
        <v>5.2030000000000003</v>
      </c>
      <c r="T7" s="19">
        <f>(S7-$J7)/$J7</f>
        <v>4.060000000000006E-2</v>
      </c>
      <c r="U7" s="11" t="s">
        <v>74</v>
      </c>
      <c r="V7" s="15"/>
      <c r="W7" s="32"/>
      <c r="X7" s="11">
        <v>5.1529999999999996</v>
      </c>
      <c r="Y7" s="19">
        <f>(X7-$J7)/$J7</f>
        <v>3.0599999999999915E-2</v>
      </c>
      <c r="Z7" s="11" t="s">
        <v>74</v>
      </c>
      <c r="AA7" s="15"/>
      <c r="AB7" s="32"/>
    </row>
    <row r="8" spans="2:29" x14ac:dyDescent="0.4">
      <c r="B8" s="26" t="s">
        <v>22</v>
      </c>
      <c r="C8" s="39"/>
      <c r="D8" s="27" t="s">
        <v>19</v>
      </c>
      <c r="E8" s="27" t="s">
        <v>12</v>
      </c>
      <c r="F8" s="27" t="s">
        <v>21</v>
      </c>
      <c r="G8" s="27" t="s">
        <v>10</v>
      </c>
      <c r="H8" s="11" t="s">
        <v>74</v>
      </c>
      <c r="I8" s="12"/>
      <c r="J8" s="4">
        <v>3.3</v>
      </c>
      <c r="K8" s="4" t="s">
        <v>77</v>
      </c>
      <c r="L8" s="13">
        <v>2.5000000000000001E-2</v>
      </c>
      <c r="M8" s="14"/>
      <c r="N8" s="18">
        <v>3.327</v>
      </c>
      <c r="O8" s="19">
        <f t="shared" si="0"/>
        <v>8.1818181818182224E-3</v>
      </c>
      <c r="P8" s="11" t="s">
        <v>74</v>
      </c>
      <c r="Q8" s="15"/>
      <c r="S8" s="11">
        <v>3.343</v>
      </c>
      <c r="T8" s="19">
        <f>(S8-$J8)/$J8</f>
        <v>1.3030303030303076E-2</v>
      </c>
      <c r="U8" s="11" t="s">
        <v>74</v>
      </c>
      <c r="V8" s="15"/>
      <c r="X8" s="11">
        <v>3.3130000000000002</v>
      </c>
      <c r="Y8" s="19">
        <f>(X8-$J8)/$J8</f>
        <v>3.9393939393940437E-3</v>
      </c>
      <c r="Z8" s="11" t="s">
        <v>74</v>
      </c>
      <c r="AA8" s="15"/>
    </row>
    <row r="9" spans="2:29" x14ac:dyDescent="0.4">
      <c r="B9" s="26" t="s">
        <v>23</v>
      </c>
      <c r="C9" s="39"/>
      <c r="D9" s="27" t="s">
        <v>44</v>
      </c>
      <c r="E9" s="27" t="s">
        <v>45</v>
      </c>
      <c r="F9" s="27" t="s">
        <v>46</v>
      </c>
      <c r="G9" s="27" t="s">
        <v>47</v>
      </c>
      <c r="H9" s="11" t="s">
        <v>74</v>
      </c>
      <c r="I9" s="12"/>
      <c r="J9" s="4">
        <v>3.3</v>
      </c>
      <c r="K9" s="4" t="s">
        <v>77</v>
      </c>
      <c r="L9" s="13">
        <v>2.5000000000000001E-2</v>
      </c>
      <c r="M9" s="14"/>
      <c r="N9" s="18">
        <v>3.327</v>
      </c>
      <c r="O9" s="19">
        <f t="shared" si="0"/>
        <v>8.1818181818182224E-3</v>
      </c>
      <c r="P9" s="11" t="s">
        <v>74</v>
      </c>
      <c r="Q9" s="15"/>
      <c r="S9" s="11">
        <v>3.343</v>
      </c>
      <c r="T9" s="19">
        <f>(S9-$J9)/$J9</f>
        <v>1.3030303030303076E-2</v>
      </c>
      <c r="U9" s="11" t="s">
        <v>74</v>
      </c>
      <c r="V9" s="15"/>
      <c r="X9" s="11">
        <v>3.3130000000000002</v>
      </c>
      <c r="Y9" s="19">
        <f>(X9-$J9)/$J9</f>
        <v>3.9393939393940437E-3</v>
      </c>
      <c r="Z9" s="11" t="s">
        <v>74</v>
      </c>
      <c r="AA9" s="15"/>
    </row>
    <row r="10" spans="2:29" x14ac:dyDescent="0.4">
      <c r="B10" s="26" t="s">
        <v>24</v>
      </c>
      <c r="C10" s="39"/>
      <c r="D10" s="27" t="s">
        <v>49</v>
      </c>
      <c r="E10" s="27" t="s">
        <v>50</v>
      </c>
      <c r="F10" s="27" t="s">
        <v>51</v>
      </c>
      <c r="G10" s="27" t="s">
        <v>48</v>
      </c>
      <c r="H10" s="11" t="s">
        <v>74</v>
      </c>
      <c r="I10" s="12"/>
      <c r="J10" s="4">
        <v>20</v>
      </c>
      <c r="K10" s="4" t="s">
        <v>77</v>
      </c>
      <c r="L10" s="13">
        <v>0.05</v>
      </c>
      <c r="M10" s="14"/>
      <c r="N10" s="18">
        <v>20.04</v>
      </c>
      <c r="O10" s="19">
        <f t="shared" si="0"/>
        <v>1.9999999999999575E-3</v>
      </c>
      <c r="P10" s="11" t="s">
        <v>74</v>
      </c>
      <c r="Q10" s="15"/>
      <c r="S10" s="11">
        <v>20.04</v>
      </c>
      <c r="T10" s="19">
        <f>(S10-$J10)/$J10</f>
        <v>1.9999999999999575E-3</v>
      </c>
      <c r="U10" s="11" t="s">
        <v>74</v>
      </c>
      <c r="V10" s="15"/>
      <c r="X10" s="11">
        <v>20.03</v>
      </c>
      <c r="Y10" s="19">
        <f>(X10-$J10)/$J10</f>
        <v>1.5000000000000568E-3</v>
      </c>
      <c r="Z10" s="11" t="s">
        <v>74</v>
      </c>
      <c r="AA10" s="15"/>
    </row>
    <row r="11" spans="2:29" x14ac:dyDescent="0.4">
      <c r="B11" s="26" t="s">
        <v>25</v>
      </c>
      <c r="C11" s="39"/>
      <c r="D11" s="27" t="s">
        <v>49</v>
      </c>
      <c r="E11" s="27" t="s">
        <v>50</v>
      </c>
      <c r="F11" s="27" t="s">
        <v>52</v>
      </c>
      <c r="G11" s="27" t="s">
        <v>53</v>
      </c>
      <c r="H11" s="11" t="s">
        <v>74</v>
      </c>
      <c r="I11" s="12"/>
      <c r="J11" s="4">
        <v>18.3</v>
      </c>
      <c r="K11" s="4" t="s">
        <v>77</v>
      </c>
      <c r="L11" s="13">
        <v>2.5000000000000001E-2</v>
      </c>
      <c r="M11" s="14"/>
      <c r="N11" s="18">
        <v>18.32</v>
      </c>
      <c r="O11" s="19">
        <f t="shared" si="0"/>
        <v>1.0928961748633646E-3</v>
      </c>
      <c r="P11" s="11" t="s">
        <v>74</v>
      </c>
      <c r="Q11" s="15"/>
      <c r="S11" s="15"/>
      <c r="T11" s="15"/>
      <c r="U11" s="15"/>
      <c r="V11" s="15"/>
      <c r="X11" s="15"/>
      <c r="Y11" s="15"/>
      <c r="Z11" s="15"/>
      <c r="AA11" s="15"/>
    </row>
    <row r="12" spans="2:29" x14ac:dyDescent="0.4">
      <c r="B12" s="26" t="s">
        <v>26</v>
      </c>
      <c r="C12" s="39"/>
      <c r="D12" s="27" t="s">
        <v>49</v>
      </c>
      <c r="E12" s="27" t="s">
        <v>50</v>
      </c>
      <c r="F12" s="27" t="s">
        <v>58</v>
      </c>
      <c r="G12" s="27" t="s">
        <v>59</v>
      </c>
      <c r="H12" s="11" t="s">
        <v>74</v>
      </c>
      <c r="I12" s="12"/>
      <c r="J12" s="4">
        <v>2.2200000000000002</v>
      </c>
      <c r="K12" s="4" t="s">
        <v>78</v>
      </c>
      <c r="L12" s="13">
        <v>2.5000000000000001E-2</v>
      </c>
      <c r="M12" s="14"/>
      <c r="N12" s="18">
        <v>2.25</v>
      </c>
      <c r="O12" s="19">
        <f t="shared" si="0"/>
        <v>1.3513513513513424E-2</v>
      </c>
      <c r="P12" s="11" t="s">
        <v>74</v>
      </c>
      <c r="Q12" s="15"/>
      <c r="S12" s="15"/>
      <c r="T12" s="15"/>
      <c r="U12" s="15"/>
      <c r="V12" s="15"/>
      <c r="X12" s="15"/>
      <c r="Y12" s="15"/>
      <c r="Z12" s="15"/>
      <c r="AA12" s="15"/>
    </row>
    <row r="13" spans="2:29" x14ac:dyDescent="0.4">
      <c r="B13" s="26" t="s">
        <v>27</v>
      </c>
      <c r="C13" s="39"/>
      <c r="D13" s="27" t="s">
        <v>49</v>
      </c>
      <c r="E13" s="27" t="s">
        <v>50</v>
      </c>
      <c r="F13" s="27" t="s">
        <v>55</v>
      </c>
      <c r="G13" s="27" t="s">
        <v>56</v>
      </c>
      <c r="H13" s="11" t="s">
        <v>74</v>
      </c>
      <c r="I13" s="12"/>
      <c r="J13" s="4">
        <v>22.6</v>
      </c>
      <c r="K13" s="4" t="s">
        <v>77</v>
      </c>
      <c r="L13" s="13">
        <v>2.5000000000000001E-2</v>
      </c>
      <c r="M13" s="14"/>
      <c r="N13" s="18">
        <v>22.47</v>
      </c>
      <c r="O13" s="19">
        <f t="shared" si="0"/>
        <v>-5.7522123893806437E-3</v>
      </c>
      <c r="P13" s="11" t="s">
        <v>74</v>
      </c>
      <c r="Q13" s="15"/>
      <c r="S13" s="15"/>
      <c r="T13" s="15"/>
      <c r="U13" s="15"/>
      <c r="V13" s="15"/>
      <c r="X13" s="15"/>
      <c r="Y13" s="15"/>
      <c r="Z13" s="15"/>
      <c r="AA13" s="15"/>
    </row>
    <row r="14" spans="2:29" x14ac:dyDescent="0.4">
      <c r="B14" s="26" t="s">
        <v>28</v>
      </c>
      <c r="C14" s="39"/>
      <c r="D14" s="27" t="s">
        <v>49</v>
      </c>
      <c r="E14" s="27" t="s">
        <v>50</v>
      </c>
      <c r="F14" s="27" t="s">
        <v>75</v>
      </c>
      <c r="G14" s="27" t="s">
        <v>54</v>
      </c>
      <c r="H14" s="11" t="s">
        <v>74</v>
      </c>
      <c r="I14" s="12"/>
      <c r="J14" s="4">
        <v>0.09</v>
      </c>
      <c r="K14" s="4" t="s">
        <v>79</v>
      </c>
      <c r="L14" s="13"/>
      <c r="M14" s="14"/>
      <c r="N14" s="18">
        <v>0.13300000000000001</v>
      </c>
      <c r="O14" s="19">
        <f t="shared" si="0"/>
        <v>0.47777777777777791</v>
      </c>
      <c r="P14" s="11" t="s">
        <v>74</v>
      </c>
      <c r="Q14" s="22" t="s">
        <v>82</v>
      </c>
      <c r="S14" s="15"/>
      <c r="T14" s="15"/>
      <c r="U14" s="15"/>
      <c r="V14" s="15"/>
      <c r="X14" s="15"/>
      <c r="Y14" s="15"/>
      <c r="Z14" s="15"/>
      <c r="AA14" s="15"/>
    </row>
    <row r="15" spans="2:29" x14ac:dyDescent="0.4">
      <c r="B15" s="26" t="s">
        <v>29</v>
      </c>
      <c r="C15" s="39"/>
      <c r="D15" s="27" t="s">
        <v>49</v>
      </c>
      <c r="E15" s="27" t="s">
        <v>50</v>
      </c>
      <c r="F15" s="27" t="s">
        <v>84</v>
      </c>
      <c r="G15" s="27" t="s">
        <v>54</v>
      </c>
      <c r="H15" s="11" t="s">
        <v>74</v>
      </c>
      <c r="I15" s="12"/>
      <c r="J15" s="4">
        <v>0.09</v>
      </c>
      <c r="K15" s="4" t="s">
        <v>79</v>
      </c>
      <c r="L15" s="13"/>
      <c r="M15" s="14"/>
      <c r="N15" s="18">
        <v>0.111</v>
      </c>
      <c r="O15" s="19">
        <f t="shared" si="0"/>
        <v>0.23333333333333339</v>
      </c>
      <c r="P15" s="11" t="s">
        <v>74</v>
      </c>
      <c r="Q15" s="22" t="s">
        <v>83</v>
      </c>
      <c r="S15" s="15"/>
      <c r="T15" s="15"/>
      <c r="U15" s="15"/>
      <c r="V15" s="15"/>
      <c r="X15" s="15"/>
      <c r="Y15" s="15"/>
      <c r="Z15" s="15"/>
      <c r="AA15" s="15"/>
    </row>
    <row r="16" spans="2:29" ht="43.75" x14ac:dyDescent="0.4">
      <c r="B16" s="26" t="s">
        <v>85</v>
      </c>
      <c r="C16" s="39"/>
      <c r="D16" s="27" t="s">
        <v>49</v>
      </c>
      <c r="E16" s="27" t="s">
        <v>50</v>
      </c>
      <c r="F16" s="27" t="s">
        <v>87</v>
      </c>
      <c r="G16" s="27" t="s">
        <v>54</v>
      </c>
      <c r="H16" s="23" t="s">
        <v>106</v>
      </c>
      <c r="I16" s="12"/>
      <c r="J16" s="4">
        <v>0.09</v>
      </c>
      <c r="K16" s="4" t="s">
        <v>79</v>
      </c>
      <c r="L16" s="13"/>
      <c r="M16" s="14"/>
      <c r="P16" s="23" t="s">
        <v>105</v>
      </c>
      <c r="Q16" s="22" t="s">
        <v>88</v>
      </c>
      <c r="S16" s="15"/>
      <c r="T16" s="15"/>
      <c r="U16" s="15"/>
      <c r="V16" s="15"/>
      <c r="X16" s="15"/>
      <c r="Y16" s="15"/>
      <c r="Z16" s="15"/>
      <c r="AA16" s="15"/>
      <c r="AC16" s="24" t="s">
        <v>91</v>
      </c>
    </row>
    <row r="17" spans="2:29" ht="29.15" x14ac:dyDescent="0.4">
      <c r="B17" s="26" t="s">
        <v>86</v>
      </c>
      <c r="C17" s="39"/>
      <c r="D17" s="27" t="s">
        <v>49</v>
      </c>
      <c r="E17" s="27" t="s">
        <v>50</v>
      </c>
      <c r="F17" s="27" t="s">
        <v>89</v>
      </c>
      <c r="G17" s="27" t="s">
        <v>57</v>
      </c>
      <c r="H17" s="11" t="s">
        <v>74</v>
      </c>
      <c r="I17" s="12"/>
      <c r="J17" s="4">
        <v>18.5</v>
      </c>
      <c r="K17" s="4" t="s">
        <v>80</v>
      </c>
      <c r="L17" s="13"/>
      <c r="M17" s="14"/>
      <c r="P17" s="11" t="s">
        <v>74</v>
      </c>
      <c r="Q17" s="21"/>
      <c r="U17" s="15"/>
      <c r="V17" s="21"/>
      <c r="Z17" s="15"/>
      <c r="AA17" s="21"/>
    </row>
    <row r="18" spans="2:29" ht="14.6" customHeight="1" x14ac:dyDescent="0.4">
      <c r="B18" s="28"/>
      <c r="C18" s="25"/>
      <c r="D18" s="31"/>
      <c r="E18" s="28"/>
      <c r="F18" s="31"/>
      <c r="G18" s="31"/>
      <c r="H18" s="3"/>
      <c r="J18" s="16"/>
      <c r="K18" s="16"/>
      <c r="L18" s="3"/>
      <c r="N18" s="16"/>
      <c r="O18" s="16"/>
      <c r="P18" s="3"/>
      <c r="Q18" s="3"/>
      <c r="S18" s="16"/>
      <c r="T18" s="16"/>
      <c r="U18" s="3"/>
      <c r="V18" s="3"/>
      <c r="X18" s="16"/>
      <c r="Y18" s="16"/>
      <c r="Z18" s="3"/>
      <c r="AA18" s="3"/>
      <c r="AC18" s="17"/>
    </row>
    <row r="19" spans="2:29" ht="29.15" x14ac:dyDescent="0.4">
      <c r="B19" s="26" t="s">
        <v>98</v>
      </c>
      <c r="C19" s="36" t="s">
        <v>97</v>
      </c>
      <c r="D19" s="30" t="s">
        <v>32</v>
      </c>
      <c r="E19" s="30" t="s">
        <v>32</v>
      </c>
      <c r="F19" s="27" t="s">
        <v>90</v>
      </c>
      <c r="G19" s="27" t="s">
        <v>63</v>
      </c>
      <c r="H19" s="11" t="s">
        <v>74</v>
      </c>
      <c r="P19" s="11" t="s">
        <v>74</v>
      </c>
      <c r="U19" s="11" t="s">
        <v>74</v>
      </c>
      <c r="V19" s="15"/>
      <c r="Z19" s="11" t="s">
        <v>74</v>
      </c>
      <c r="AA19" s="15"/>
    </row>
    <row r="20" spans="2:29" x14ac:dyDescent="0.4">
      <c r="B20" s="26" t="s">
        <v>99</v>
      </c>
      <c r="C20" s="37"/>
      <c r="D20" s="30" t="s">
        <v>32</v>
      </c>
      <c r="E20" s="27" t="s">
        <v>64</v>
      </c>
      <c r="F20" s="27" t="s">
        <v>66</v>
      </c>
      <c r="G20" s="27" t="s">
        <v>65</v>
      </c>
      <c r="H20" s="11" t="s">
        <v>74</v>
      </c>
      <c r="P20" s="11" t="s">
        <v>74</v>
      </c>
      <c r="U20" s="11" t="s">
        <v>74</v>
      </c>
      <c r="V20" s="15"/>
      <c r="Z20" s="11" t="s">
        <v>74</v>
      </c>
      <c r="AA20" s="15"/>
    </row>
    <row r="21" spans="2:29" x14ac:dyDescent="0.4">
      <c r="B21" s="26" t="s">
        <v>100</v>
      </c>
      <c r="C21" s="37"/>
      <c r="D21" s="30" t="s">
        <v>32</v>
      </c>
      <c r="E21" s="27" t="s">
        <v>64</v>
      </c>
      <c r="F21" s="27" t="s">
        <v>67</v>
      </c>
      <c r="G21" s="27" t="s">
        <v>65</v>
      </c>
      <c r="H21" s="11" t="s">
        <v>74</v>
      </c>
      <c r="P21" s="11" t="s">
        <v>74</v>
      </c>
      <c r="U21" s="11" t="s">
        <v>74</v>
      </c>
      <c r="V21" s="15"/>
      <c r="Z21" s="11" t="s">
        <v>74</v>
      </c>
      <c r="AA21" s="15"/>
    </row>
    <row r="22" spans="2:29" ht="131.15" x14ac:dyDescent="0.4">
      <c r="B22" s="26" t="s">
        <v>101</v>
      </c>
      <c r="C22" s="37"/>
      <c r="D22" s="30" t="s">
        <v>32</v>
      </c>
      <c r="E22" s="27" t="s">
        <v>34</v>
      </c>
      <c r="F22" s="27" t="s">
        <v>60</v>
      </c>
      <c r="G22" s="27" t="s">
        <v>61</v>
      </c>
      <c r="H22" s="11" t="s">
        <v>74</v>
      </c>
      <c r="P22" s="11" t="s">
        <v>74</v>
      </c>
      <c r="Q22" s="1" t="s">
        <v>92</v>
      </c>
      <c r="U22" s="11" t="s">
        <v>74</v>
      </c>
      <c r="V22" s="1" t="s">
        <v>92</v>
      </c>
      <c r="Z22" s="11" t="s">
        <v>74</v>
      </c>
      <c r="AA22" s="1" t="s">
        <v>92</v>
      </c>
    </row>
    <row r="23" spans="2:29" x14ac:dyDescent="0.4">
      <c r="B23" s="26" t="s">
        <v>102</v>
      </c>
      <c r="C23" s="37"/>
      <c r="D23" s="30" t="s">
        <v>32</v>
      </c>
      <c r="E23" s="27" t="s">
        <v>34</v>
      </c>
      <c r="F23" s="27" t="s">
        <v>62</v>
      </c>
      <c r="G23" s="27" t="s">
        <v>69</v>
      </c>
      <c r="H23" s="11" t="s">
        <v>74</v>
      </c>
      <c r="P23" s="11" t="s">
        <v>74</v>
      </c>
      <c r="U23" s="11" t="s">
        <v>74</v>
      </c>
      <c r="Z23" s="11" t="s">
        <v>74</v>
      </c>
    </row>
    <row r="24" spans="2:29" ht="14.4" customHeight="1" x14ac:dyDescent="0.4">
      <c r="B24" s="26" t="s">
        <v>103</v>
      </c>
      <c r="C24" s="37"/>
      <c r="D24" s="30" t="s">
        <v>32</v>
      </c>
      <c r="E24" s="27" t="s">
        <v>32</v>
      </c>
      <c r="F24" s="27" t="s">
        <v>38</v>
      </c>
      <c r="G24" s="27" t="s">
        <v>68</v>
      </c>
      <c r="H24" s="11" t="s">
        <v>74</v>
      </c>
      <c r="P24" s="11" t="s">
        <v>74</v>
      </c>
      <c r="Q24" s="2" t="s">
        <v>93</v>
      </c>
      <c r="U24" s="11" t="s">
        <v>74</v>
      </c>
      <c r="V24" s="2" t="s">
        <v>93</v>
      </c>
      <c r="Z24" s="11" t="s">
        <v>74</v>
      </c>
      <c r="AA24" s="2" t="s">
        <v>93</v>
      </c>
    </row>
    <row r="25" spans="2:29" x14ac:dyDescent="0.4">
      <c r="B25" s="26" t="s">
        <v>104</v>
      </c>
      <c r="C25" s="37"/>
      <c r="D25" s="27" t="s">
        <v>70</v>
      </c>
      <c r="E25" s="27" t="s">
        <v>70</v>
      </c>
      <c r="F25" s="27" t="s">
        <v>71</v>
      </c>
      <c r="G25" s="27" t="s">
        <v>72</v>
      </c>
      <c r="H25" s="11" t="s">
        <v>74</v>
      </c>
      <c r="P25" s="11" t="s">
        <v>74</v>
      </c>
      <c r="U25" s="11" t="s">
        <v>74</v>
      </c>
      <c r="V25" s="15"/>
      <c r="Z25" s="11" t="s">
        <v>74</v>
      </c>
      <c r="AA25" s="15"/>
    </row>
    <row r="26" spans="2:29" ht="14.6" customHeight="1" x14ac:dyDescent="0.4">
      <c r="B26" s="28"/>
      <c r="C26" s="25"/>
      <c r="D26" s="31"/>
      <c r="E26" s="28"/>
      <c r="F26" s="31"/>
      <c r="G26" s="31"/>
      <c r="H26" s="3"/>
      <c r="J26" s="16"/>
      <c r="K26" s="16"/>
      <c r="L26" s="3"/>
      <c r="N26" s="16"/>
      <c r="O26" s="16"/>
      <c r="P26" s="3"/>
      <c r="Q26" s="3"/>
      <c r="S26" s="16"/>
      <c r="T26" s="16"/>
      <c r="U26" s="3"/>
      <c r="V26" s="3"/>
      <c r="X26" s="16"/>
      <c r="Y26" s="16"/>
      <c r="Z26" s="3"/>
      <c r="AA26" s="3"/>
      <c r="AC26" s="17"/>
    </row>
  </sheetData>
  <mergeCells count="6">
    <mergeCell ref="X1:AA1"/>
    <mergeCell ref="C19:C25"/>
    <mergeCell ref="C6:C17"/>
    <mergeCell ref="C3:C4"/>
    <mergeCell ref="N1:Q1"/>
    <mergeCell ref="S1:V1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0E6A86B6A72843A145503AA2D1C9D2" ma:contentTypeVersion="7" ma:contentTypeDescription="Create a new document." ma:contentTypeScope="" ma:versionID="5d3c1c7ece3f519f6100afb4e8df301d">
  <xsd:schema xmlns:xsd="http://www.w3.org/2001/XMLSchema" xmlns:xs="http://www.w3.org/2001/XMLSchema" xmlns:p="http://schemas.microsoft.com/office/2006/metadata/properties" xmlns:ns2="80bf8e2e-1b1f-4d16-a09c-009365d947dd" targetNamespace="http://schemas.microsoft.com/office/2006/metadata/properties" ma:root="true" ma:fieldsID="73a751ef50b924751f9cc7667f8fa632" ns2:_="">
    <xsd:import namespace="80bf8e2e-1b1f-4d16-a09c-009365d94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f8e2e-1b1f-4d16-a09c-009365d94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13160F-20C8-468C-92EC-1818B774DB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bf8e2e-1b1f-4d16-a09c-009365d94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387BD4-6431-4B6B-8F3A-12FB0D511262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80bf8e2e-1b1f-4d16-a09c-009365d947dd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68C002D-18C7-4DB4-8D71-7F615FBD04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Johansson</dc:creator>
  <cp:keywords/>
  <dc:description/>
  <cp:lastModifiedBy>Martin Johansson</cp:lastModifiedBy>
  <cp:revision/>
  <dcterms:created xsi:type="dcterms:W3CDTF">2015-06-05T18:17:20Z</dcterms:created>
  <dcterms:modified xsi:type="dcterms:W3CDTF">2025-12-07T22:20:16Z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0x0101004F0E6A86B6A72843A145503AA2D1C9D2</vt:lpwstr>
  </property>
</Properties>
</file>